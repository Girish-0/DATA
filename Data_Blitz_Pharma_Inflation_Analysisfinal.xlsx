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ights" sheetId="1" state="visible" r:id="rId3"/>
    <sheet name="Indicators &amp; Needs vs Wants" sheetId="2" state="visible" r:id="rId4"/>
    <sheet name="Yearly Analysis" sheetId="3" state="visible" r:id="rId5"/>
    <sheet name="Size &amp; Distribution" sheetId="4" state="visible" r:id="rId6"/>
    <sheet name="Top 20 Pharma" sheetId="5" state="visible" r:id="rId7"/>
    <sheet name="WPI" sheetId="6" state="visible" r:id="rId8"/>
    <sheet name="Pharma Companies" sheetId="7" state="visible" r:id="rId9"/>
  </sheets>
  <definedNames>
    <definedName function="false" hidden="true" localSheetId="6" name="_xlnm._FilterDatabase" vbProcedure="false">'Pharma Companies'!$A$1:$Q$141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<sst xmlns="http://schemas.openxmlformats.org/spreadsheetml/2006/main" count="487" uniqueCount="306">
  <si>
    <t xml:space="preserve">DATA BLITZ — Inflation on Trial: Drugs &amp; Pharmaceuticals (FY2010–FY2020)</t>
  </si>
  <si>
    <t xml:space="preserve">Key numbers (live links)</t>
  </si>
  <si>
    <t xml:space="preserve">Pharma companies in panel</t>
  </si>
  <si>
    <t xml:space="preserve">Pharma nominal sales CAGR</t>
  </si>
  <si>
    <t xml:space="preserve">Pharma price (WPI) CAGR</t>
  </si>
  <si>
    <t xml:space="preserve">Pharma REAL sales CAGR</t>
  </si>
  <si>
    <t xml:space="preserve">Sales multiple FY10-&gt;20</t>
  </si>
  <si>
    <t xml:space="preserve">Price multiple FY10-&gt;20</t>
  </si>
  <si>
    <t xml:space="preserve">Share of growth that was real</t>
  </si>
  <si>
    <t xml:space="preserve">FY2016 pharma growth (economy: -3.5%)</t>
  </si>
  <si>
    <t xml:space="preserve">FY2020 pharma growth (economy: -6.5%)</t>
  </si>
  <si>
    <t xml:space="preserve">FY2017 pharma growth (the stall)</t>
  </si>
  <si>
    <t xml:space="preserve">Correlation pharma vs economy growth</t>
  </si>
  <si>
    <t xml:space="preserve">% pharma cos beating drug inflation</t>
  </si>
  <si>
    <t xml:space="preserve">Top-10 share of FY20 sales</t>
  </si>
  <si>
    <t xml:space="preserve">Insights</t>
  </si>
  <si>
    <t xml:space="preserve">1. VERDICT — REAL GROWTH, NOT A PRICE TAG: Pharma sales grew ~3.3x (12.6%/yr) while drug prices rose only ~1.35x (3.1%/yr). Real growth ~9.2%/yr — roughly 3/4 of the growth was genuine volume/mix, about double the all-industry real growth (~4.8%/yr).</t>
  </si>
  <si>
    <t xml:space="preserve">2. DRUG PRICES ARE TAME: Pharma WPI never rose more than ~6% in a year, while all-commodity inflation swung from +9.6% to -3.7%. Drug prices are partly regulated (DPCO/NLEM price caps), so pharma revenue cannot simply ride inflation — growth had to come from volume, new products and exports.</t>
  </si>
  <si>
    <t xml:space="preserve">3. THE CALM INDUSTRY: In FY2016, when total corporate sales fell 3.5% (oil crash), pharma grew +13%. In FY2020, when total sales fell 6.5%, pharma still grew +8%. Correlation with economy-wide growth is low (~0.4) — pharma is defensive: people buy medicines in good and bad times.</t>
  </si>
  <si>
    <t xml:space="preserve">4. THE FY2017–18 STALL: Growth collapsed to ~0-2% for two years, with real sales flat. This was industry-specific, not inflation: commonly cited reasons are US generic price erosion, USFDA regulatory actions on Indian plants, and GST transition in July 2017. Good Q&amp;A talking point.</t>
  </si>
  <si>
    <t xml:space="preserve">5. CONCENTRATION IS RISING: Top 10 companies (Sun, Aurobindo, Cipla, Mylan Labs, Dr. Reddy's, Lupin...) went from ~45% to ~52% of panel sales.</t>
  </si>
  <si>
    <t xml:space="preserve">6. MOST FIRMS WIN: ~85% of pharma companies beat drug-price inflation (vs ~71% across all industries); only ~9% shrank in rupees. Median firm grew ~10.8%/yr.</t>
  </si>
  <si>
    <t xml:space="preserve">7. SMALL FIRMS GREW FASTEST: smallest quartile ~16.7%/yr aggregate vs ~12.4% for the largest. Caveat: survivorship bias — only firms present all 11 years.</t>
  </si>
  <si>
    <t xml:space="preserve">Q&amp;A prep:</t>
  </si>
  <si>
    <t xml:space="preserve">• Why pharma WPI and not general WPI? Deflating by the industry's own price index measures real volume growth; general WPI is driven by fuel and would mislead.</t>
  </si>
  <si>
    <t xml:space="preserve">• How were pharma companies identified? By company name (CSV had no industry code). The Prowess Drugs &amp; Pharmaceuticals industry set would be the cleaner sample.</t>
  </si>
  <si>
    <t xml:space="preserve">• Is FY2020-21 (COVID year) included? Pharma WPI for 2020-21 is in the WPI sheet (+2.8%), but the sales file ends Mar 2020.</t>
  </si>
  <si>
    <t xml:space="preserve">• Why exclude firms with missing years? Prevents new entrants/exits from inflating or deflating totals.</t>
  </si>
  <si>
    <t xml:space="preserve">Economic Indicators &amp; Sales Growth — applied to Pharma</t>
  </si>
  <si>
    <t xml:space="preserve">Indicator type</t>
  </si>
  <si>
    <t xml:space="preserve">What it shows</t>
  </si>
  <si>
    <t xml:space="preserve">Example</t>
  </si>
  <si>
    <t xml:space="preserve">Where it is in OUR data</t>
  </si>
  <si>
    <t xml:space="preserve">What our data says</t>
  </si>
  <si>
    <t xml:space="preserve">1. Leading</t>
  </si>
  <si>
    <t xml:space="preserve">Where the economy is going BEFORE change</t>
  </si>
  <si>
    <t xml:space="preserve">Stock prices, new orders, consumer confidence</t>
  </si>
  <si>
    <t xml:space="preserve">Not in CMIE sales file (would need pharma stock index / order book)</t>
  </si>
  <si>
    <t xml:space="preserve">Pharma stocks are classic "defensive" stocks — investors buy them before slowdowns</t>
  </si>
  <si>
    <t xml:space="preserve">2. Coincident</t>
  </si>
  <si>
    <t xml:space="preserve">What is happening RIGHT NOW</t>
  </si>
  <si>
    <t xml:space="preserve">GDP, shop sales today, employment</t>
  </si>
  <si>
    <t xml:space="preserve">Company SALES (Yearly Analysis, col C &amp; F)</t>
  </si>
  <si>
    <t xml:space="preserve">Sales = real-time activity. Pharma sales kept rising in FY16 &amp; FY20 while total corporate sales fell</t>
  </si>
  <si>
    <t xml:space="preserve">3. Lagging</t>
  </si>
  <si>
    <t xml:space="preserve">Confirms trend AFTER it happened</t>
  </si>
  <si>
    <t xml:space="preserve">Inflation (CPI/WPI), interest rates</t>
  </si>
  <si>
    <t xml:space="preserve">WPI sheet — pharma WPI &amp; all-commodity WPI</t>
  </si>
  <si>
    <t xml:space="preserve">Prices confirm what already happened: drug prices rose steadily ~3%/yr; general prices swung with oil</t>
  </si>
  <si>
    <t xml:space="preserve">NEEDS vs WANTS test — essentials keep selling when the economy is under stress</t>
  </si>
  <si>
    <t xml:space="preserve">Stress year</t>
  </si>
  <si>
    <t xml:space="preserve">What hit the economy</t>
  </si>
  <si>
    <t xml:space="preserve">All-industry sales growth</t>
  </si>
  <si>
    <t xml:space="preserve">Pharma sales growth (NEED)</t>
  </si>
  <si>
    <t xml:space="preserve">Pharma price inflation</t>
  </si>
  <si>
    <t xml:space="preserve">Verdict</t>
  </si>
  <si>
    <t xml:space="preserve">FY2016</t>
  </si>
  <si>
    <t xml:space="preserve">Global oil price crash, fuel WPI -19.7%</t>
  </si>
  <si>
    <t xml:space="preserve">Economy shrank, medicines (a need) still grew</t>
  </si>
  <si>
    <t xml:space="preserve">FY2020</t>
  </si>
  <si>
    <t xml:space="preserve">Slowdown + March 2020 lockdown</t>
  </si>
  <si>
    <t xml:space="preserve">Wants (autos, consumer goods) fell; medicines kept selling</t>
  </si>
  <si>
    <t xml:space="preserve">FY2017</t>
  </si>
  <si>
    <t xml:space="preserve">Demonetisation; pharma-specific issues</t>
  </si>
  <si>
    <t xml:space="preserve">Exception: pharma stalled due to regulation/US pricing, NOT inflation</t>
  </si>
  <si>
    <t xml:space="preserve">Why medicines are a NEED: demand is inelastic — a patient cannot postpone insulin or antibiotics when prices or incomes change, unlike a car or a phone.</t>
  </si>
  <si>
    <t xml:space="preserve">Twist for pharma: drug prices are capped (DPCO/NLEM), so when inflation rises pharma cannot pass costs on fully — its growth comes from volume, not price.</t>
  </si>
  <si>
    <t xml:space="preserve">Drugs &amp; Pharmaceuticals — sales vs inflation (140 companies reporting every year FY2010-FY2020, Rs crore)</t>
  </si>
  <si>
    <t xml:space="preserve">Year</t>
  </si>
  <si>
    <t xml:space="preserve">Companies</t>
  </si>
  <si>
    <t xml:space="preserve">Total sales (Rs cr)</t>
  </si>
  <si>
    <t xml:space="preserve">Pharma WPI</t>
  </si>
  <si>
    <t xml:space="preserve">Real sales (FY12 prices)</t>
  </si>
  <si>
    <t xml:space="preserve">Nominal growth</t>
  </si>
  <si>
    <t xml:space="preserve">Real growth</t>
  </si>
  <si>
    <t xml:space="preserve">Pharma inflation</t>
  </si>
  <si>
    <t xml:space="preserve">All-industry sales growth*</t>
  </si>
  <si>
    <t xml:space="preserve">Price share of growth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</si>
  <si>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</si>
  <si>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</si>
  <si>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</si>
  <si>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</si>
  <si>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</si>
  <si>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</si>
  <si>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FY2018</t>
  </si>
  <si>
    <t xml:space="preserve">FY2019</t>
  </si>
  <si>
    <t xml:space="preserve">FY10-20 CAGR</t>
  </si>
  <si>
    <t xml:space="preserve">Sales multiple FY10-&gt;FY20</t>
  </si>
  <si>
    <t xml:space="preserve">Price multiple (pharma WPI)</t>
  </si>
  <si>
    <t xml:space="preserve">Share of growth that was real (log)</t>
  </si>
  <si>
    <t xml:space="preserve">Correlation: pharma sales growth vs pharma inflation</t>
  </si>
  <si>
    <t xml:space="preserve">Correlation: pharma growth vs all-industry growth</t>
  </si>
  <si>
    <t xml:space="preserve">Volatility (std dev) of pharma growth</t>
  </si>
  <si>
    <t xml:space="preserve">Volatility (std dev) of all-industry growth</t>
  </si>
  <si>
    <t xml:space="preserve">Pharma CAGR FY10-14</t>
  </si>
  <si>
    <t xml:space="preserve">Pharma CAGR FY14-20</t>
  </si>
  <si>
    <t xml:space="preserve">* All-industry growth = 3,091 companies (all sectors) from the same CMIE file, computed in the earlier analysis — used as the "economy" benchmark.</t>
  </si>
  <si>
    <t xml:space="preserve">Pharma companies identified by company name (pharma/drug/laboratories/remedies/lifesciences etc. + known majors) because the CSV has no industry code; FMCG names like Dabur/P&amp;G removed.</t>
  </si>
  <si>
    <t xml:space="preserve">Which pharma companies beat drug-price inflation? (FY10-20 CAGR)</t>
  </si>
  <si>
    <t xml:space="preserve">Size quartile</t>
  </si>
  <si>
    <t xml:space="preserve">FY10 sales (Rs cr)</t>
  </si>
  <si>
    <t xml:space="preserve">FY20 sales (Rs cr)</t>
  </si>
  <si>
    <t xml:space="preserve">Aggregate CAGR</t>
  </si>
  <si>
    <t xml:space="preserve">Median company CAGR</t>
  </si>
  <si>
    <t xml:space="preserve">% beating pharma inflation</t>
  </si>
  <si>
    <t xml:space="preserve">Small</t>
  </si>
  <si>
    <t xml:space="preserve">Lower-mid</t>
  </si>
  <si>
    <t xml:space="preserve">Upper-mid</t>
  </si>
  <si>
    <t xml:space="preserve">Large</t>
  </si>
  <si>
    <t xml:space="preserve">All</t>
  </si>
  <si>
    <t xml:space="preserve">Median column computed in Python; all other cells are live formulas on the Pharma Companies sheet.</t>
  </si>
  <si>
    <t xml:space="preserve">Company CAGR band</t>
  </si>
  <si>
    <t xml:space="preserve">Share</t>
  </si>
  <si>
    <t xml:space="preserve">Shrank in rupees (&lt;0%)</t>
  </si>
  <si>
    <t xml:space="preserve">Grew, but below pharma inflation</t>
  </si>
  <si>
    <t xml:space="preserve">Beat inflation, under 10%</t>
  </si>
  <si>
    <t xml:space="preserve">10% to 20%</t>
  </si>
  <si>
    <t xml:space="preserve">Over 20%</t>
  </si>
  <si>
    <t xml:space="preserve">FY2020: % of pharma companies with falling sales</t>
  </si>
  <si>
    <t xml:space="preserve">Company</t>
  </si>
  <si>
    <t xml:space="preserve">CAGR</t>
  </si>
  <si>
    <t xml:space="preserve">Real CAGR</t>
  </si>
  <si>
    <t xml:space="preserve">Share of FY20 total</t>
  </si>
  <si>
    <t xml:space="preserve">Sun Pharmaceutical Inds. Ltd.</t>
  </si>
  <si>
    <t xml:space="preserve">Aurobindo Pharma Ltd.</t>
  </si>
  <si>
    <t xml:space="preserve">Cipla Ltd.</t>
  </si>
  <si>
    <t xml:space="preserve">Mylan Laboratories Ltd.</t>
  </si>
  <si>
    <t xml:space="preserve">Dr. Reddy'S Laboratories Ltd.</t>
  </si>
  <si>
    <t xml:space="preserve">Lupin Ltd.</t>
  </si>
  <si>
    <t xml:space="preserve">Hetero Labs Ltd.</t>
  </si>
  <si>
    <t xml:space="preserve">Alkem Laboratories Ltd.</t>
  </si>
  <si>
    <t xml:space="preserve">Glenmark Pharmaceuticals Ltd.</t>
  </si>
  <si>
    <t xml:space="preserve">Torrent Pharmaceuticals Ltd.</t>
  </si>
  <si>
    <t xml:space="preserve">Zydus Lifesciences Ltd.</t>
  </si>
  <si>
    <t xml:space="preserve">Divi'S Laboratories Ltd.</t>
  </si>
  <si>
    <t xml:space="preserve">Macleods Pharmaceuticals Ltd.</t>
  </si>
  <si>
    <t xml:space="preserve">Serum Institute Of India Pvt. Ltd.</t>
  </si>
  <si>
    <t xml:space="preserve">Ipca Laboratories Ltd.</t>
  </si>
  <si>
    <t xml:space="preserve">Glaxosmithkline Pharmaceuticals Ltd.</t>
  </si>
  <si>
    <t xml:space="preserve">Sanofi India Ltd.</t>
  </si>
  <si>
    <t xml:space="preserve">Laurus Labs Ltd.</t>
  </si>
  <si>
    <t xml:space="preserve">Nectar Lifesciences Ltd.</t>
  </si>
  <si>
    <t xml:space="preserve">Abbott India Ltd.</t>
  </si>
  <si>
    <t xml:space="preserve">Top 10 share of FY20 pharma sales</t>
  </si>
  <si>
    <t xml:space="preserve">Wholesale Price Index — Pharma vs economy (spliced, 2011-12 = 100)</t>
  </si>
  <si>
    <t xml:space="preserve">CMIE column</t>
  </si>
  <si>
    <t xml:space="preserve">WPI Pharmaceuticals (Drugs &amp; medicines)</t>
  </si>
  <si>
    <t xml:space="preserve">WPI All commodities</t>
  </si>
  <si>
    <t xml:space="preserve">WPI Manufactured products</t>
  </si>
  <si>
    <t xml:space="preserve">All-commodity inflation</t>
  </si>
  <si>
    <t xml:space="preserve">2009-10</t>
  </si>
  <si>
    <t xml:space="preserve">Mar 2010</t>
  </si>
  <si>
    <t xml:space="preserve">Pharma WPI CAGR FY10-20</t>
  </si>
  <si>
    <t xml:space="preserve">2010-11</t>
  </si>
  <si>
    <t xml:space="preserve">Mar 2011</t>
  </si>
  <si>
    <t xml:space="preserve">Pharma WPI CAGR (used for real)</t>
  </si>
  <si>
    <t xml:space="preserve">2011-12</t>
  </si>
  <si>
    <t xml:space="preserve">Mar 2012</t>
  </si>
  <si>
    <t xml:space="preserve">All-commodity WPI CAGR FY10-20</t>
  </si>
  <si>
    <t xml:space="preserve">2012-13</t>
  </si>
  <si>
    <t xml:space="preserve">Mar 2013</t>
  </si>
  <si>
    <t xml:space="preserve">2013-14</t>
  </si>
  <si>
    <t xml:space="preserve">Mar 2014</t>
  </si>
  <si>
    <t xml:space="preserve">2014-15</t>
  </si>
  <si>
    <t xml:space="preserve">Mar 2015</t>
  </si>
  <si>
    <t xml:space="preserve">2015-16</t>
  </si>
  <si>
    <t xml:space="preserve">Mar 2016</t>
  </si>
  <si>
    <t xml:space="preserve">2016-17</t>
  </si>
  <si>
    <t xml:space="preserve">Mar 2017</t>
  </si>
  <si>
    <t xml:space="preserve">2017-18</t>
  </si>
  <si>
    <t xml:space="preserve">Mar 2018</t>
  </si>
  <si>
    <t xml:space="preserve">2018-19</t>
  </si>
  <si>
    <t xml:space="preserve">Mar 2019</t>
  </si>
  <si>
    <t xml:space="preserve">2019-20</t>
  </si>
  <si>
    <t xml:space="preserve">Mar 2020</t>
  </si>
  <si>
    <t xml:space="preserve">2020-21</t>
  </si>
  <si>
    <t xml:space="preserve">Mar 2021</t>
  </si>
  <si>
    <t xml:space="preserve">Source: Office of Economic Adviser, DPIIT (eaindustry.nic.in) annual financial-year WPI files.</t>
  </si>
  <si>
    <t xml:space="preserve">2012-13 onward: Base 2011-12 series, "Manufacture of pharmaceuticals, medicinal chemical and botanical products" (code 1311000000).</t>
  </si>
  <si>
    <t xml:space="preserve">2009-10 to 2011-12: Base 2004-05 series "Drugs &amp; medicines" (code 1308060000), rescaled so 2011-12 = 100. All-commodity/Manufactured rescaled the same way.</t>
  </si>
  <si>
    <t xml:space="preserve">2020-21 index included for reference; the CMIE sales file supplied ends at Mar 2020, so FY2021 sales are not in this analysis.</t>
  </si>
  <si>
    <t xml:space="preserve">Size quartile (FY10 sales)</t>
  </si>
  <si>
    <t xml:space="preserve">CAGR FY10-20</t>
  </si>
  <si>
    <t xml:space="preserve">Real CAGR (pharma WPI)</t>
  </si>
  <si>
    <t xml:space="preserve">Beat pharma inflation?</t>
  </si>
  <si>
    <t xml:space="preserve">FY20 growth</t>
  </si>
  <si>
    <t xml:space="preserve">Aarti Drugs Ltd.</t>
  </si>
  <si>
    <t xml:space="preserve">Agio Pharmaceuticals Ltd.</t>
  </si>
  <si>
    <t xml:space="preserve">Agog Pharma Ltd.</t>
  </si>
  <si>
    <t xml:space="preserve">Agribiotech Industries Ltd.</t>
  </si>
  <si>
    <t xml:space="preserve">Ahlcon Parenterals (India) Ltd.</t>
  </si>
  <si>
    <t xml:space="preserve">Aimil Pharmaceuticals (India) Ltd.</t>
  </si>
  <si>
    <t xml:space="preserve">Ajanta Pharma Ltd.</t>
  </si>
  <si>
    <t xml:space="preserve">Akums Drugs &amp; Pharmaceuticals Ltd.</t>
  </si>
  <si>
    <t xml:space="preserve">Alpa Laboratories Ltd.</t>
  </si>
  <si>
    <t xml:space="preserve">Alta Laboratories Ltd.</t>
  </si>
  <si>
    <t xml:space="preserve">Ami Lifesciences Pvt. Ltd.</t>
  </si>
  <si>
    <t xml:space="preserve">Amrutanjan Health Care Ltd.</t>
  </si>
  <si>
    <t xml:space="preserve">Anan Drug &amp; Chem Ltd.</t>
  </si>
  <si>
    <t xml:space="preserve">Anuh Pharma Ltd.</t>
  </si>
  <si>
    <t xml:space="preserve">Arch Pharmalabs Ltd.</t>
  </si>
  <si>
    <t xml:space="preserve">Arya Vaidya Pharmacy (Coimbatore) Ltd.</t>
  </si>
  <si>
    <t xml:space="preserve">Arysta Lifescience India Ltd.</t>
  </si>
  <si>
    <t xml:space="preserve">Astec Lifesciences Ltd.</t>
  </si>
  <si>
    <t xml:space="preserve">Astrazeneca Pharma India Ltd.</t>
  </si>
  <si>
    <t xml:space="preserve">Auro Laboratories Ltd.</t>
  </si>
  <si>
    <t xml:space="preserve">Axa Parenterals Ltd.</t>
  </si>
  <si>
    <t xml:space="preserve">Bafna Pharmaceuticals Ltd.</t>
  </si>
  <si>
    <t xml:space="preserve">Bal Pharma Ltd.</t>
  </si>
  <si>
    <t xml:space="preserve">Bengal Chemicals &amp; Pharmaceuticals Ltd.</t>
  </si>
  <si>
    <t xml:space="preserve">Beryl Drugs Ltd.</t>
  </si>
  <si>
    <t xml:space="preserve">Bharat Biotech Intl. Ltd.</t>
  </si>
  <si>
    <t xml:space="preserve">Bharat Serums &amp; Vaccines Ltd. [Merged]</t>
  </si>
  <si>
    <t xml:space="preserve">Biocon Ltd.</t>
  </si>
  <si>
    <t xml:space="preserve">Biofil Chemicals &amp; Pharmaceuticals Ltd.</t>
  </si>
  <si>
    <t xml:space="preserve">Bliss G V S Pharma Ltd.</t>
  </si>
  <si>
    <t xml:space="preserve">Brooks Laboratories Ltd.</t>
  </si>
  <si>
    <t xml:space="preserve">Cadila Pharmaceuticals Ltd.</t>
  </si>
  <si>
    <t xml:space="preserve">Caplin Point Laboratories Ltd.</t>
  </si>
  <si>
    <t xml:space="preserve">Celon Laboratories Pvt. Ltd.</t>
  </si>
  <si>
    <t xml:space="preserve">Colinz Laboratories Ltd.</t>
  </si>
  <si>
    <t xml:space="preserve">Concept Pharmaceuticals Ltd.</t>
  </si>
  <si>
    <t xml:space="preserve">Concord Biotech Ltd.</t>
  </si>
  <si>
    <t xml:space="preserve">Concord Drugs Ltd.</t>
  </si>
  <si>
    <t xml:space="preserve">Coral Laboratories Ltd.</t>
  </si>
  <si>
    <t xml:space="preserve">Corvine Chemicals &amp; Pharmaceuticals Pvt. Ltd.</t>
  </si>
  <si>
    <t xml:space="preserve">Dalas Biotech Ltd.</t>
  </si>
  <si>
    <t xml:space="preserve">Dinesh Remedies Ltd.</t>
  </si>
  <si>
    <t xml:space="preserve">East India Pharmaceutical Works Ltd.</t>
  </si>
  <si>
    <t xml:space="preserve">Emcure Pharmaceuticals Ltd.</t>
  </si>
  <si>
    <t xml:space="preserve">Erawat Pharma Ltd.</t>
  </si>
  <si>
    <t xml:space="preserve">F D C Ltd.</t>
  </si>
  <si>
    <t xml:space="preserve">Flamingo Pharmaceuticals Ltd.</t>
  </si>
  <si>
    <t xml:space="preserve">Fredun Pharmaceuticals Ltd.</t>
  </si>
  <si>
    <t xml:space="preserve">Gennex Laboratories Ltd.</t>
  </si>
  <si>
    <t xml:space="preserve">Gennova Biopharmaceuticals Ltd.</t>
  </si>
  <si>
    <t xml:space="preserve">Geno Pharmaceuticals Pvt. Ltd.</t>
  </si>
  <si>
    <t xml:space="preserve">Gland Pharma Ltd.</t>
  </si>
  <si>
    <t xml:space="preserve">Goa Antibiotics &amp; Pharmaceuticals Ltd.</t>
  </si>
  <si>
    <t xml:space="preserve">Godavari Drugs Ltd.</t>
  </si>
  <si>
    <t xml:space="preserve">Goodcare Pharma Pvt. Ltd.</t>
  </si>
  <si>
    <t xml:space="preserve">Gracure Pharmaceuticals Ltd.</t>
  </si>
  <si>
    <t xml:space="preserve">Granules India Ltd.</t>
  </si>
  <si>
    <t xml:space="preserve">Greensignal Bio Pharma Pvt. Ltd.</t>
  </si>
  <si>
    <t xml:space="preserve">Gujarat Terce Laboratories Ltd.</t>
  </si>
  <si>
    <t xml:space="preserve">Haffkine Ajintha Pharmaceuticals Ltd.</t>
  </si>
  <si>
    <t xml:space="preserve">Hetero Drugs Ltd.</t>
  </si>
  <si>
    <t xml:space="preserve">Hikal Ltd.</t>
  </si>
  <si>
    <t xml:space="preserve">Himalaya Communications Pvt. Ltd.</t>
  </si>
  <si>
    <t xml:space="preserve">I O L Chemicals &amp; Pharmaceuticals Ltd.</t>
  </si>
  <si>
    <t xml:space="preserve">Ind-Swift Laboratories Ltd.</t>
  </si>
  <si>
    <t xml:space="preserve">Indoco Remedies Ltd.</t>
  </si>
  <si>
    <t xml:space="preserve">Ishita Drugs &amp; Inds. Ltd.</t>
  </si>
  <si>
    <t xml:space="preserve">J B Chemicals &amp; Pharmaceuticals Ltd. [Merged]</t>
  </si>
  <si>
    <t xml:space="preserve">J H S Svendgaard Laboratories Ltd.</t>
  </si>
  <si>
    <t xml:space="preserve">Jagsonpal Pharmaceuticals Ltd.</t>
  </si>
  <si>
    <t xml:space="preserve">Jenburkt Pharmaceuticals Ltd.</t>
  </si>
  <si>
    <t xml:space="preserve">Jindal Drugs Pvt. Ltd.</t>
  </si>
  <si>
    <t xml:space="preserve">Karnataka Antibiotics &amp; Pharmaceuticals Ltd.</t>
  </si>
  <si>
    <t xml:space="preserve">Kilitch Drugs (India) Ltd.</t>
  </si>
  <si>
    <t xml:space="preserve">Lee Pharma Ltd.</t>
  </si>
  <si>
    <t xml:space="preserve">Lincoln Pharmaceuticals Ltd.</t>
  </si>
  <si>
    <t xml:space="preserve">Link Pharma Chem Ltd.</t>
  </si>
  <si>
    <t xml:space="preserve">Malladi Drugs &amp; Pharmaceuticals Ltd.</t>
  </si>
  <si>
    <t xml:space="preserve">Mangalam Drugs &amp; Organics Ltd.</t>
  </si>
  <si>
    <t xml:space="preserve">Martin &amp; Harris Laboratories Ltd.</t>
  </si>
  <si>
    <t xml:space="preserve">Medicamen Biotech Ltd.</t>
  </si>
  <si>
    <t xml:space="preserve">Medley Pharmaceuticals Ltd.</t>
  </si>
  <si>
    <t xml:space="preserve">Medopharm Pvt. Ltd.</t>
  </si>
  <si>
    <t xml:space="preserve">Morepen Laboratories Ltd.</t>
  </si>
  <si>
    <t xml:space="preserve">Multani Pharmaceuticals Ltd.</t>
  </si>
  <si>
    <t xml:space="preserve">Natco Pharma Ltd.</t>
  </si>
  <si>
    <t xml:space="preserve">Neuland Laboratories Ltd.</t>
  </si>
  <si>
    <t xml:space="preserve">Orchid Pharma Ltd.</t>
  </si>
  <si>
    <t xml:space="preserve">Panacea Biotec Ltd.</t>
  </si>
  <si>
    <t xml:space="preserve">Parenteral Drugs (India) Ltd.</t>
  </si>
  <si>
    <t xml:space="preserve">Penam Laboratories Ltd.</t>
  </si>
  <si>
    <t xml:space="preserve">Pfizer Ltd.</t>
  </si>
  <si>
    <t xml:space="preserve">R P G Life Sciences Ltd.</t>
  </si>
  <si>
    <t xml:space="preserve">Rossari Biotech Ltd.</t>
  </si>
  <si>
    <t xml:space="preserve">S M S Pharmaceuticals Ltd.</t>
  </si>
  <si>
    <t xml:space="preserve">Samrat Pharmachem Ltd.</t>
  </si>
  <si>
    <t xml:space="preserve">Scott Edil Pharmacia Ltd.</t>
  </si>
  <si>
    <t xml:space="preserve">Shilpa Medicare Ltd.</t>
  </si>
  <si>
    <t xml:space="preserve">Shine Pharmaceuticals Ltd.</t>
  </si>
  <si>
    <t xml:space="preserve">Shiva Pharmachem Ltd.</t>
  </si>
  <si>
    <t xml:space="preserve">Shodhana Laboratories Pvt. Ltd.</t>
  </si>
  <si>
    <t xml:space="preserve">Shree Ganesh Remedies Ltd.</t>
  </si>
  <si>
    <t xml:space="preserve">Srini Pharmaceuticals Pvt. Ltd.</t>
  </si>
  <si>
    <t xml:space="preserve">Strides Pharma Science Ltd.</t>
  </si>
  <si>
    <t xml:space="preserve">Syncom Formulations (India) Ltd.</t>
  </si>
  <si>
    <t xml:space="preserve">Theon Pharmaceuticals Ltd.</t>
  </si>
  <si>
    <t xml:space="preserve">Theta Pharmaceuticals Ltd.</t>
  </si>
  <si>
    <t xml:space="preserve">Titan Biotech Ltd.</t>
  </si>
  <si>
    <t xml:space="preserve">Unichem Laboratories Ltd.</t>
  </si>
  <si>
    <t xml:space="preserve">Unidrug Innovative Pharma Technologies Ltd.</t>
  </si>
  <si>
    <t xml:space="preserve">Unique Biotech Ltd.</t>
  </si>
  <si>
    <t xml:space="preserve">Unjha Formulations Ltd.</t>
  </si>
  <si>
    <t xml:space="preserve">Vasudha Pharma Chem Ltd.</t>
  </si>
  <si>
    <t xml:space="preserve">Venus Remedies Ltd.</t>
  </si>
  <si>
    <t xml:space="preserve">Vista Pharmaceuticals Ltd.</t>
  </si>
  <si>
    <t xml:space="preserve">Wanbury Ltd.</t>
  </si>
  <si>
    <t xml:space="preserve">Windlas Biotech Ltd.</t>
  </si>
  <si>
    <t xml:space="preserve">Wockhardt Ltd.</t>
  </si>
  <si>
    <t xml:space="preserve">Zim Laboratories Ltd.</t>
  </si>
  <si>
    <t xml:space="preserve">Zydus Wellness Ltd.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</si>
</sst>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0\x"/>
    <numFmt numFmtId="168" formatCode="0%"/>
    <numFmt numFmtId="169" formatCode="0.00"/>
    <numFmt numFmtId="170" formatCode="#,##0"/>
    <numFmt numFmtId="171" formatCode="0.0"/>
    <numFmt numFmtId="172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345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5345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53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B5345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Needs vs Wants: stress-year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'Indicators &amp; Needs vs Wants'!C10</c:f>
              <c:strCache>
                <c:ptCount val="1"/>
                <c:pt idx="0">
                  <c:v>All-industry sales growth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'Indicators &amp; Needs vs Wants'!$A$11:$A$13</c:f>
              <c:strCache>
                <c:ptCount val="3"/>
                <c:pt idx="0">
                  <c:v>FY2016</c:v>
                </c:pt>
                <c:pt idx="1">
                  <c:v>FY2020</c:v>
                </c:pt>
                <c:pt idx="2">
                  <c:v>FY2017</c:v>
                </c:pt>
              </c:strCache>
            </c:strRef>
          </c:cat>
          <c:val>
            <c:numRef>
              <c:f>'Indicators &amp; Needs vs Wants'!$C$11:$C$13</c:f>
              <c:numCache>
                <c:formatCode>0.0%</c:formatCode>
                <c:ptCount val="3"/>
                <c:pt idx="0">
                  <c:v>-0.0351</c:v>
                </c:pt>
                <c:pt idx="1">
                  <c:v>-0.0651</c:v>
                </c:pt>
                <c:pt idx="2">
                  <c:v>0.0754</c:v>
                </c:pt>
              </c:numCache>
            </c:numRef>
          </c:val>
        </c:ser>
        <c:ser>
          <c:idx val="1"/>
          <c:order val="1"/>
          <c:tx>
            <c:strRef>
              <c:f>'Indicators &amp; Needs vs Wants'!D10</c:f>
              <c:strCache>
                <c:ptCount val="1"/>
                <c:pt idx="0">
                  <c:v>Pharma sales growth (NEED)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'Indicators &amp; Needs vs Wants'!$A$11:$A$13</c:f>
              <c:strCache>
                <c:ptCount val="3"/>
                <c:pt idx="0">
                  <c:v>FY2016</c:v>
                </c:pt>
                <c:pt idx="1">
                  <c:v>FY2020</c:v>
                </c:pt>
                <c:pt idx="2">
                  <c:v>FY2017</c:v>
                </c:pt>
              </c:strCache>
            </c:strRef>
          </c:cat>
          <c:val>
            <c:numRef>
              <c:f>'Indicators &amp; Needs vs Wants'!$D$11:$D$13</c:f>
              <c:numCache>
                <c:formatCode>0.0%</c:formatCode>
                <c:ptCount val="3"/>
                <c:pt idx="0">
                  <c:v>0.131299610745449</c:v>
                </c:pt>
                <c:pt idx="1">
                  <c:v>0.0810119506133644</c:v>
                </c:pt>
                <c:pt idx="2">
                  <c:v>0.00342929832341743</c:v>
                </c:pt>
              </c:numCache>
            </c:numRef>
          </c:val>
        </c:ser>
        <c:gapWidth val="150"/>
        <c:overlap val="0"/>
        <c:axId val="89233249"/>
        <c:axId val="89568011"/>
      </c:barChart>
      <c:catAx>
        <c:axId val="89233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68011"/>
        <c:crosses val="autoZero"/>
        <c:auto val="1"/>
        <c:lblAlgn val="ctr"/>
        <c:lblOffset val="100"/>
        <c:noMultiLvlLbl val="0"/>
      </c:catAx>
      <c:valAx>
        <c:axId val="895680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332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Pharma vs economy: yearly sales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Analysis'!F3</c:f>
              <c:strCache>
                <c:ptCount val="1"/>
                <c:pt idx="0">
                  <c:v>Nominal growth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Analysis'!$F$4:$F$14</c:f>
              <c:numCache>
                <c:formatCode>0.0%</c:formatCode>
                <c:ptCount val="11"/>
                <c:pt idx="1">
                  <c:v>0.185799235887524</c:v>
                </c:pt>
                <c:pt idx="2">
                  <c:v>0.213227970419867</c:v>
                </c:pt>
                <c:pt idx="3">
                  <c:v>0.193633407208567</c:v>
                </c:pt>
                <c:pt idx="4">
                  <c:v>0.160683663395507</c:v>
                </c:pt>
                <c:pt idx="5">
                  <c:v>0.154521455484751</c:v>
                </c:pt>
                <c:pt idx="6">
                  <c:v>0.131299610745449</c:v>
                </c:pt>
                <c:pt idx="7">
                  <c:v>0.00342929832341743</c:v>
                </c:pt>
                <c:pt idx="8">
                  <c:v>0.0183693601048602</c:v>
                </c:pt>
                <c:pt idx="9">
                  <c:v>0.135145705002787</c:v>
                </c:pt>
                <c:pt idx="10">
                  <c:v>0.0810119506133644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'Yearly Analysis'!G3</c:f>
              <c:strCache>
                <c:ptCount val="1"/>
                <c:pt idx="0">
                  <c:v>Real growth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Analysis'!$G$4:$G$14</c:f>
              <c:numCache>
                <c:formatCode>0.0%</c:formatCode>
                <c:ptCount val="11"/>
                <c:pt idx="1">
                  <c:v>0.1582625337479</c:v>
                </c:pt>
                <c:pt idx="2">
                  <c:v>0.170279700267004</c:v>
                </c:pt>
                <c:pt idx="3">
                  <c:v>0.138963174817334</c:v>
                </c:pt>
                <c:pt idx="4">
                  <c:v>0.123173111023538</c:v>
                </c:pt>
                <c:pt idx="5">
                  <c:v>0.0920058832226947</c:v>
                </c:pt>
                <c:pt idx="6">
                  <c:v>0.0912704754031497</c:v>
                </c:pt>
                <c:pt idx="7">
                  <c:v>-0.00495356966591776</c:v>
                </c:pt>
                <c:pt idx="8">
                  <c:v>0.0057657789154435</c:v>
                </c:pt>
                <c:pt idx="9">
                  <c:v>0.11400533964646</c:v>
                </c:pt>
                <c:pt idx="10">
                  <c:v>0.048742937162219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'Yearly Analysis'!H3</c:f>
              <c:strCache>
                <c:ptCount val="1"/>
                <c:pt idx="0">
                  <c:v>Pharma inflation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Analysis'!$H$4:$H$14</c:f>
              <c:numCache>
                <c:formatCode>0.0%</c:formatCode>
                <c:ptCount val="11"/>
                <c:pt idx="1">
                  <c:v>0.0237741456166418</c:v>
                </c:pt>
                <c:pt idx="2">
                  <c:v>0.0366991499066971</c:v>
                </c:pt>
                <c:pt idx="3">
                  <c:v>0.048</c:v>
                </c:pt>
                <c:pt idx="4">
                  <c:v>0.0333969465648856</c:v>
                </c:pt>
                <c:pt idx="5">
                  <c:v>0.0572483841181903</c:v>
                </c:pt>
                <c:pt idx="6">
                  <c:v>0.0366812227074236</c:v>
                </c:pt>
                <c:pt idx="7">
                  <c:v>0.00842459983150801</c:v>
                </c:pt>
                <c:pt idx="8">
                  <c:v>0.0125313283208019</c:v>
                </c:pt>
                <c:pt idx="9">
                  <c:v>0.0189768976897688</c:v>
                </c:pt>
                <c:pt idx="10">
                  <c:v>0.0307692307692307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'Yearly Analysis'!I3</c:f>
              <c:strCache>
                <c:ptCount val="1"/>
                <c:pt idx="0">
                  <c:v>All-industry sales growth*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Analysis'!$I$4:$I$14</c:f>
              <c:numCache>
                <c:formatCode>0.0%</c:formatCode>
                <c:ptCount val="11"/>
                <c:pt idx="1">
                  <c:v>0.2252</c:v>
                </c:pt>
                <c:pt idx="2">
                  <c:v>0.2078</c:v>
                </c:pt>
                <c:pt idx="3">
                  <c:v>0.1036</c:v>
                </c:pt>
                <c:pt idx="4">
                  <c:v>0.0734</c:v>
                </c:pt>
                <c:pt idx="5">
                  <c:v>0.0132</c:v>
                </c:pt>
                <c:pt idx="6">
                  <c:v>-0.0351</c:v>
                </c:pt>
                <c:pt idx="7">
                  <c:v>0.0754</c:v>
                </c:pt>
                <c:pt idx="8">
                  <c:v>0.0806</c:v>
                </c:pt>
                <c:pt idx="9">
                  <c:v>0.1523</c:v>
                </c:pt>
                <c:pt idx="10">
                  <c:v>-0.0651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574176"/>
        <c:axId val="13932204"/>
      </c:lineChart>
      <c:catAx>
        <c:axId val="74574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32204"/>
        <c:crosses val="autoZero"/>
        <c:auto val="1"/>
        <c:lblAlgn val="ctr"/>
        <c:lblOffset val="100"/>
        <c:noMultiLvlLbl val="0"/>
      </c:catAx>
      <c:valAx>
        <c:axId val="1393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74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Pharma sales: nominal vs real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Analysis'!C3</c:f>
              <c:strCache>
                <c:ptCount val="1"/>
                <c:pt idx="0">
                  <c:v>Total sales (Rs cr)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Analysis'!$A$4:$A$14</c:f>
              <c:strCache>
                <c:ptCount val="11"/>
                <c:pt idx="0">
                  <c:v>FY2010</c:v>
                </c:pt>
                <c:pt idx="1">
                  <c:v>FY2011</c:v>
                </c:pt>
                <c:pt idx="2">
                  <c:v>FY2012</c:v>
                </c:pt>
                <c:pt idx="3">
                  <c:v>FY2013</c:v>
                </c:pt>
                <c:pt idx="4">
                  <c:v>FY2014</c:v>
                </c:pt>
                <c:pt idx="5">
                  <c:v>FY2015</c:v>
                </c:pt>
                <c:pt idx="6">
                  <c:v>FY2016</c:v>
                </c:pt>
                <c:pt idx="7">
                  <c:v>FY2017</c:v>
                </c:pt>
                <c:pt idx="8">
                  <c:v>FY2018</c:v>
                </c:pt>
                <c:pt idx="9">
                  <c:v>FY2019</c:v>
                </c:pt>
                <c:pt idx="10">
                  <c:v>FY2020</c:v>
                </c:pt>
              </c:strCache>
            </c:strRef>
          </c:cat>
          <c:val>
            <c:numRef>
              <c:f>'Yearly Analysis'!$C$4:$C$14</c:f>
              <c:numCache>
                <c:formatCode>#,##0</c:formatCode>
                <c:ptCount val="11"/>
                <c:pt idx="0">
                  <c:v>57912.94</c:v>
                </c:pt>
                <c:pt idx="1">
                  <c:v>68673.12</c:v>
                </c:pt>
                <c:pt idx="2">
                  <c:v>83316.15</c:v>
                </c:pt>
                <c:pt idx="3">
                  <c:v>99448.94</c:v>
                </c:pt>
                <c:pt idx="4">
                  <c:v>115428.76</c:v>
                </c:pt>
                <c:pt idx="5">
                  <c:v>133264.98</c:v>
                </c:pt>
                <c:pt idx="6">
                  <c:v>150762.62</c:v>
                </c:pt>
                <c:pt idx="7">
                  <c:v>151279.63</c:v>
                </c:pt>
                <c:pt idx="8">
                  <c:v>154058.54</c:v>
                </c:pt>
                <c:pt idx="9">
                  <c:v>174878.89</c:v>
                </c:pt>
                <c:pt idx="10">
                  <c:v>189046.17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'Yearly Analysis'!E3</c:f>
              <c:strCache>
                <c:ptCount val="1"/>
                <c:pt idx="0">
                  <c:v>Real sales (FY12 prices)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Analysis'!$A$4:$A$14</c:f>
              <c:strCache>
                <c:ptCount val="11"/>
                <c:pt idx="0">
                  <c:v>FY2010</c:v>
                </c:pt>
                <c:pt idx="1">
                  <c:v>FY2011</c:v>
                </c:pt>
                <c:pt idx="2">
                  <c:v>FY2012</c:v>
                </c:pt>
                <c:pt idx="3">
                  <c:v>FY2013</c:v>
                </c:pt>
                <c:pt idx="4">
                  <c:v>FY2014</c:v>
                </c:pt>
                <c:pt idx="5">
                  <c:v>FY2015</c:v>
                </c:pt>
                <c:pt idx="6">
                  <c:v>FY2016</c:v>
                </c:pt>
                <c:pt idx="7">
                  <c:v>FY2017</c:v>
                </c:pt>
                <c:pt idx="8">
                  <c:v>FY2018</c:v>
                </c:pt>
                <c:pt idx="9">
                  <c:v>FY2019</c:v>
                </c:pt>
                <c:pt idx="10">
                  <c:v>FY2020</c:v>
                </c:pt>
              </c:strCache>
            </c:strRef>
          </c:cat>
          <c:val>
            <c:numRef>
              <c:f>'Yearly Analysis'!$E$4:$E$14</c:f>
              <c:numCache>
                <c:formatCode>#,##0</c:formatCode>
                <c:ptCount val="11"/>
                <c:pt idx="0">
                  <c:v>61465.6548503502</c:v>
                </c:pt>
                <c:pt idx="1">
                  <c:v>71193.3651254406</c:v>
                </c:pt>
                <c:pt idx="2">
                  <c:v>83316.15</c:v>
                </c:pt>
                <c:pt idx="3">
                  <c:v>94894.0267175573</c:v>
                </c:pt>
                <c:pt idx="4">
                  <c:v>106582.41920591</c:v>
                </c:pt>
                <c:pt idx="5">
                  <c:v>116388.628820961</c:v>
                </c:pt>
                <c:pt idx="6">
                  <c:v>127011.474304971</c:v>
                </c:pt>
                <c:pt idx="7">
                  <c:v>126382.31411863</c:v>
                </c:pt>
                <c:pt idx="8">
                  <c:v>127111.00660066</c:v>
                </c:pt>
                <c:pt idx="9">
                  <c:v>141602.340080972</c:v>
                </c:pt>
                <c:pt idx="10">
                  <c:v>148504.454045562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846091"/>
        <c:axId val="43772527"/>
      </c:lineChart>
      <c:catAx>
        <c:axId val="388460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72527"/>
        <c:crosses val="autoZero"/>
        <c:auto val="1"/>
        <c:lblAlgn val="ctr"/>
        <c:lblOffset val="100"/>
        <c:noMultiLvlLbl val="0"/>
      </c:catAx>
      <c:valAx>
        <c:axId val="43772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46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Stress years: pharma vs all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Analysis'!F3</c:f>
              <c:strCache>
                <c:ptCount val="1"/>
                <c:pt idx="0">
                  <c:v>Nominal growth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Analysis'!$F$4:$F$14</c:f>
              <c:numCache>
                <c:formatCode>0.0%</c:formatCode>
                <c:ptCount val="11"/>
                <c:pt idx="1">
                  <c:v>0.185799235887524</c:v>
                </c:pt>
                <c:pt idx="2">
                  <c:v>0.213227970419867</c:v>
                </c:pt>
                <c:pt idx="3">
                  <c:v>0.193633407208567</c:v>
                </c:pt>
                <c:pt idx="4">
                  <c:v>0.160683663395507</c:v>
                </c:pt>
                <c:pt idx="5">
                  <c:v>0.154521455484751</c:v>
                </c:pt>
                <c:pt idx="6">
                  <c:v>0.131299610745449</c:v>
                </c:pt>
                <c:pt idx="7">
                  <c:v>0.00342929832341743</c:v>
                </c:pt>
                <c:pt idx="8">
                  <c:v>0.0183693601048602</c:v>
                </c:pt>
                <c:pt idx="9">
                  <c:v>0.135145705002787</c:v>
                </c:pt>
                <c:pt idx="10">
                  <c:v>0.0810119506133644</c:v>
                </c:pt>
              </c:numCache>
            </c:numRef>
          </c:val>
        </c:ser>
        <c:ser>
          <c:idx val="1"/>
          <c:order val="1"/>
          <c:tx>
            <c:strRef>
              <c:f>'Yearly Analysis'!I3</c:f>
              <c:strCache>
                <c:ptCount val="1"/>
                <c:pt idx="0">
                  <c:v>All-industry sales growth*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Analysis'!$I$4:$I$14</c:f>
              <c:numCache>
                <c:formatCode>0.0%</c:formatCode>
                <c:ptCount val="11"/>
                <c:pt idx="1">
                  <c:v>0.2252</c:v>
                </c:pt>
                <c:pt idx="2">
                  <c:v>0.2078</c:v>
                </c:pt>
                <c:pt idx="3">
                  <c:v>0.1036</c:v>
                </c:pt>
                <c:pt idx="4">
                  <c:v>0.0734</c:v>
                </c:pt>
                <c:pt idx="5">
                  <c:v>0.0132</c:v>
                </c:pt>
                <c:pt idx="6">
                  <c:v>-0.0351</c:v>
                </c:pt>
                <c:pt idx="7">
                  <c:v>0.0754</c:v>
                </c:pt>
                <c:pt idx="8">
                  <c:v>0.0806</c:v>
                </c:pt>
                <c:pt idx="9">
                  <c:v>0.1523</c:v>
                </c:pt>
                <c:pt idx="10">
                  <c:v>-0.0651</c:v>
                </c:pt>
              </c:numCache>
            </c:numRef>
          </c:val>
        </c:ser>
        <c:gapWidth val="150"/>
        <c:overlap val="0"/>
        <c:axId val="95536966"/>
        <c:axId val="13435069"/>
      </c:barChart>
      <c:catAx>
        <c:axId val="955369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35069"/>
        <c:crosses val="autoZero"/>
        <c:auto val="1"/>
        <c:lblAlgn val="ctr"/>
        <c:lblOffset val="100"/>
        <c:noMultiLvlLbl val="0"/>
      </c:catAx>
      <c:valAx>
        <c:axId val="13435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6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Aggregate CAGR by company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'Size &amp; Distribution'!E3</c:f>
              <c:strCache>
                <c:ptCount val="1"/>
                <c:pt idx="0">
                  <c:v>Aggregate CAGR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&amp; Distribution'!$A$4:$A$7</c:f>
              <c:strCache>
                <c:ptCount val="4"/>
                <c:pt idx="0">
                  <c:v>Small</c:v>
                </c:pt>
                <c:pt idx="1">
                  <c:v>Lower-mid</c:v>
                </c:pt>
                <c:pt idx="2">
                  <c:v>Upper-mid</c:v>
                </c:pt>
                <c:pt idx="3">
                  <c:v>Large</c:v>
                </c:pt>
              </c:strCache>
            </c:strRef>
          </c:cat>
          <c:val>
            <c:numRef>
              <c:f>'Size &amp; Distribution'!$E$4:$E$7</c:f>
              <c:numCache>
                <c:formatCode>0.0%</c:formatCode>
                <c:ptCount val="4"/>
                <c:pt idx="0">
                  <c:v>0.16660816032806</c:v>
                </c:pt>
                <c:pt idx="1">
                  <c:v>0.119188350280937</c:v>
                </c:pt>
                <c:pt idx="2">
                  <c:v>0.131489954919635</c:v>
                </c:pt>
                <c:pt idx="3">
                  <c:v>0.124374672867255</c:v>
                </c:pt>
              </c:numCache>
            </c:numRef>
          </c:val>
        </c:ser>
        <c:gapWidth val="150"/>
        <c:overlap val="0"/>
        <c:axId val="42557383"/>
        <c:axId val="31917993"/>
      </c:barChart>
      <c:catAx>
        <c:axId val="42557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17993"/>
        <c:crosses val="autoZero"/>
        <c:auto val="1"/>
        <c:lblAlgn val="ctr"/>
        <c:lblOffset val="100"/>
        <c:noMultiLvlLbl val="0"/>
      </c:catAx>
      <c:valAx>
        <c:axId val="31917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57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company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'Size &amp; Distribution'!B12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'Size &amp; Distribution'!$A$13:$A$17</c:f>
              <c:strCache>
                <c:ptCount val="5"/>
                <c:pt idx="0">
                  <c:v>Shrank in rupees (&lt;0%)</c:v>
                </c:pt>
                <c:pt idx="1">
                  <c:v>Grew, but below pharma inflation</c:v>
                </c:pt>
                <c:pt idx="2">
                  <c:v>Beat inflation, under 10%</c:v>
                </c:pt>
                <c:pt idx="3">
                  <c:v>10% to 20%</c:v>
                </c:pt>
                <c:pt idx="4">
                  <c:v>Over 20%</c:v>
                </c:pt>
              </c:strCache>
            </c:strRef>
          </c:cat>
          <c:val>
            <c:numRef>
              <c:f>'Size &amp; Distribution'!$B$13:$B$17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40</c:v>
                </c:pt>
                <c:pt idx="3">
                  <c:v>59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51876665"/>
        <c:axId val="26795528"/>
      </c:barChart>
      <c:catAx>
        <c:axId val="518766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95528"/>
        <c:crosses val="autoZero"/>
        <c:auto val="1"/>
        <c:lblAlgn val="ctr"/>
        <c:lblOffset val="100"/>
        <c:noMultiLvlLbl val="0"/>
      </c:catAx>
      <c:valAx>
        <c:axId val="2679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6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by FY20 sales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20 Pharma'!C1</c:f>
              <c:strCache>
                <c:ptCount val="1"/>
                <c:pt idx="0">
                  <c:v>FY20 sales (Rs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20 Pharma'!$A$2:$A$11</c:f>
              <c:strCache>
                <c:ptCount val="10"/>
                <c:pt idx="0">
                  <c:v>Sun Pharmaceutical Inds. Ltd.</c:v>
                </c:pt>
                <c:pt idx="1">
                  <c:v>Aurobindo Pharma Ltd.</c:v>
                </c:pt>
                <c:pt idx="2">
                  <c:v>Cipla Ltd.</c:v>
                </c:pt>
                <c:pt idx="3">
                  <c:v>Mylan Laboratories Ltd.</c:v>
                </c:pt>
                <c:pt idx="4">
                  <c:v>Dr. Reddy'S Laboratories Ltd.</c:v>
                </c:pt>
                <c:pt idx="5">
                  <c:v>Lupin Ltd.</c:v>
                </c:pt>
                <c:pt idx="6">
                  <c:v>Hetero Labs Ltd.</c:v>
                </c:pt>
                <c:pt idx="7">
                  <c:v>Alkem Laboratories Ltd.</c:v>
                </c:pt>
                <c:pt idx="8">
                  <c:v>Glenmark Pharmaceuticals Ltd.</c:v>
                </c:pt>
                <c:pt idx="9">
                  <c:v>Torrent Pharmaceuticals Ltd.</c:v>
                </c:pt>
              </c:strCache>
            </c:strRef>
          </c:cat>
          <c:val>
            <c:numRef>
              <c:f>'Top 20 Pharma'!$C$2:$C$11</c:f>
              <c:numCache>
                <c:formatCode>#,##0</c:formatCode>
                <c:ptCount val="10"/>
                <c:pt idx="0">
                  <c:v>13136</c:v>
                </c:pt>
                <c:pt idx="1">
                  <c:v>13022</c:v>
                </c:pt>
                <c:pt idx="2">
                  <c:v>12220</c:v>
                </c:pt>
                <c:pt idx="3">
                  <c:v>11609</c:v>
                </c:pt>
                <c:pt idx="4">
                  <c:v>10992</c:v>
                </c:pt>
                <c:pt idx="5">
                  <c:v>10633</c:v>
                </c:pt>
                <c:pt idx="6">
                  <c:v>6775</c:v>
                </c:pt>
                <c:pt idx="7">
                  <c:v>6719</c:v>
                </c:pt>
                <c:pt idx="8">
                  <c:v>6413</c:v>
                </c:pt>
                <c:pt idx="9">
                  <c:v>6026</c:v>
                </c:pt>
              </c:numCache>
            </c:numRef>
          </c:val>
        </c:ser>
        <c:gapWidth val="150"/>
        <c:overlap val="0"/>
        <c:axId val="52939021"/>
        <c:axId val="15114118"/>
      </c:barChart>
      <c:catAx>
        <c:axId val="529390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14118"/>
        <c:crosses val="autoZero"/>
        <c:auto val="1"/>
        <c:lblAlgn val="ctr"/>
        <c:lblOffset val="100"/>
        <c:noMultiLvlLbl val="0"/>
      </c:catAx>
      <c:valAx>
        <c:axId val="15114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39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Pharma prices vs all prices (2011-12=100)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WPI!C3</c:f>
              <c:strCache>
                <c:ptCount val="1"/>
                <c:pt idx="0">
                  <c:v>WPI Pharmaceuticals (Drugs &amp; medicines)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WPI!$A$4:$A$15</c:f>
              <c:strCache>
                <c:ptCount val="12"/>
                <c:pt idx="0">
                  <c:v>2009-10</c:v>
                </c:pt>
                <c:pt idx="1">
                  <c:v>2010-11</c:v>
                </c:pt>
                <c:pt idx="2">
                  <c:v>2011-12</c:v>
                </c:pt>
                <c:pt idx="3">
                  <c:v>2012-13</c:v>
                </c:pt>
                <c:pt idx="4">
                  <c:v>2013-14</c:v>
                </c:pt>
                <c:pt idx="5">
                  <c:v>2014-15</c:v>
                </c:pt>
                <c:pt idx="6">
                  <c:v>2015-16</c:v>
                </c:pt>
                <c:pt idx="7">
                  <c:v>2016-17</c:v>
                </c:pt>
                <c:pt idx="8">
                  <c:v>2017-18</c:v>
                </c:pt>
                <c:pt idx="9">
                  <c:v>2018-19</c:v>
                </c:pt>
                <c:pt idx="10">
                  <c:v>2019-20</c:v>
                </c:pt>
                <c:pt idx="11">
                  <c:v>2020-21</c:v>
                </c:pt>
              </c:strCache>
            </c:strRef>
          </c:cat>
          <c:val>
            <c:numRef>
              <c:f>WPI!$C$4:$C$15</c:f>
              <c:numCache>
                <c:formatCode>0.0</c:formatCode>
                <c:ptCount val="12"/>
                <c:pt idx="0">
                  <c:v>94.22</c:v>
                </c:pt>
                <c:pt idx="1">
                  <c:v>96.46</c:v>
                </c:pt>
                <c:pt idx="2">
                  <c:v>100</c:v>
                </c:pt>
                <c:pt idx="3">
                  <c:v>104.8</c:v>
                </c:pt>
                <c:pt idx="4">
                  <c:v>108.3</c:v>
                </c:pt>
                <c:pt idx="5">
                  <c:v>114.5</c:v>
                </c:pt>
                <c:pt idx="6">
                  <c:v>118.7</c:v>
                </c:pt>
                <c:pt idx="7">
                  <c:v>119.7</c:v>
                </c:pt>
                <c:pt idx="8">
                  <c:v>121.2</c:v>
                </c:pt>
                <c:pt idx="9">
                  <c:v>123.5</c:v>
                </c:pt>
                <c:pt idx="10">
                  <c:v>127.3</c:v>
                </c:pt>
                <c:pt idx="11">
                  <c:v>130.9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WPI!D3</c:f>
              <c:strCache>
                <c:ptCount val="1"/>
                <c:pt idx="0">
                  <c:v>WPI All commodities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WPI!$A$4:$A$15</c:f>
              <c:strCache>
                <c:ptCount val="12"/>
                <c:pt idx="0">
                  <c:v>2009-10</c:v>
                </c:pt>
                <c:pt idx="1">
                  <c:v>2010-11</c:v>
                </c:pt>
                <c:pt idx="2">
                  <c:v>2011-12</c:v>
                </c:pt>
                <c:pt idx="3">
                  <c:v>2012-13</c:v>
                </c:pt>
                <c:pt idx="4">
                  <c:v>2013-14</c:v>
                </c:pt>
                <c:pt idx="5">
                  <c:v>2014-15</c:v>
                </c:pt>
                <c:pt idx="6">
                  <c:v>2015-16</c:v>
                </c:pt>
                <c:pt idx="7">
                  <c:v>2016-17</c:v>
                </c:pt>
                <c:pt idx="8">
                  <c:v>2017-18</c:v>
                </c:pt>
                <c:pt idx="9">
                  <c:v>2018-19</c:v>
                </c:pt>
                <c:pt idx="10">
                  <c:v>2019-20</c:v>
                </c:pt>
                <c:pt idx="11">
                  <c:v>2020-21</c:v>
                </c:pt>
              </c:strCache>
            </c:strRef>
          </c:cat>
          <c:val>
            <c:numRef>
              <c:f>WPI!$D$4:$D$15</c:f>
              <c:numCache>
                <c:formatCode>0.0</c:formatCode>
                <c:ptCount val="12"/>
                <c:pt idx="0">
                  <c:v>83.78</c:v>
                </c:pt>
                <c:pt idx="1">
                  <c:v>91.8</c:v>
                </c:pt>
                <c:pt idx="2">
                  <c:v>100</c:v>
                </c:pt>
                <c:pt idx="3">
                  <c:v>106.9</c:v>
                </c:pt>
                <c:pt idx="4">
                  <c:v>112.5</c:v>
                </c:pt>
                <c:pt idx="5">
                  <c:v>113.9</c:v>
                </c:pt>
                <c:pt idx="6">
                  <c:v>109.7</c:v>
                </c:pt>
                <c:pt idx="7">
                  <c:v>111.6</c:v>
                </c:pt>
                <c:pt idx="8">
                  <c:v>114.9</c:v>
                </c:pt>
                <c:pt idx="9">
                  <c:v>119.8</c:v>
                </c:pt>
                <c:pt idx="10">
                  <c:v>121.8</c:v>
                </c:pt>
                <c:pt idx="11">
                  <c:v>123.4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559622"/>
        <c:axId val="31840036"/>
      </c:lineChart>
      <c:catAx>
        <c:axId val="155596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40036"/>
        <c:crosses val="autoZero"/>
        <c:auto val="1"/>
        <c:lblAlgn val="ctr"/>
        <c:lblOffset val="100"/>
        <c:noMultiLvlLbl val="0"/>
      </c:catAx>
      <c:valAx>
        <c:axId val="31840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59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256320</xdr:colOff>
      <xdr:row>7</xdr:row>
      <xdr:rowOff>182520</xdr:rowOff>
    </xdr:to>
    <xdr:graphicFrame>
      <xdr:nvGraphicFramePr>
        <xdr:cNvPr id="0" name="Chart 1"/>
        <xdr:cNvGraphicFramePr/>
      </xdr:nvGraphicFramePr>
      <xdr:xfrm>
        <a:off x="127350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69120</xdr:rowOff>
    </xdr:from>
    <xdr:to>
      <xdr:col>8</xdr:col>
      <xdr:colOff>362160</xdr:colOff>
      <xdr:row>45</xdr:row>
      <xdr:rowOff>69840</xdr:rowOff>
    </xdr:to>
    <xdr:graphicFrame>
      <xdr:nvGraphicFramePr>
        <xdr:cNvPr id="1" name="Chart 1"/>
        <xdr:cNvGraphicFramePr/>
      </xdr:nvGraphicFramePr>
      <xdr:xfrm>
        <a:off x="0" y="570780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69120</xdr:rowOff>
    </xdr:from>
    <xdr:to>
      <xdr:col>19</xdr:col>
      <xdr:colOff>147240</xdr:colOff>
      <xdr:row>45</xdr:row>
      <xdr:rowOff>69840</xdr:rowOff>
    </xdr:to>
    <xdr:graphicFrame>
      <xdr:nvGraphicFramePr>
        <xdr:cNvPr id="2" name="Chart 2"/>
        <xdr:cNvGraphicFramePr/>
      </xdr:nvGraphicFramePr>
      <xdr:xfrm>
        <a:off x="9140040" y="5707800"/>
        <a:ext cx="50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69120</xdr:rowOff>
    </xdr:from>
    <xdr:to>
      <xdr:col>8</xdr:col>
      <xdr:colOff>362160</xdr:colOff>
      <xdr:row>64</xdr:row>
      <xdr:rowOff>69840</xdr:rowOff>
    </xdr:to>
    <xdr:graphicFrame>
      <xdr:nvGraphicFramePr>
        <xdr:cNvPr id="3" name="Chart 3"/>
        <xdr:cNvGraphicFramePr/>
      </xdr:nvGraphicFramePr>
      <xdr:xfrm>
        <a:off x="0" y="9327600"/>
        <a:ext cx="719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16</xdr:col>
      <xdr:colOff>507240</xdr:colOff>
      <xdr:row>14</xdr:row>
      <xdr:rowOff>101520</xdr:rowOff>
    </xdr:to>
    <xdr:graphicFrame>
      <xdr:nvGraphicFramePr>
        <xdr:cNvPr id="4" name="Chart 1"/>
        <xdr:cNvGraphicFramePr/>
      </xdr:nvGraphicFramePr>
      <xdr:xfrm>
        <a:off x="9210600" y="380880"/>
        <a:ext cx="5399280" cy="26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69120</xdr:rowOff>
    </xdr:from>
    <xdr:to>
      <xdr:col>16</xdr:col>
      <xdr:colOff>507240</xdr:colOff>
      <xdr:row>31</xdr:row>
      <xdr:rowOff>101520</xdr:rowOff>
    </xdr:to>
    <xdr:graphicFrame>
      <xdr:nvGraphicFramePr>
        <xdr:cNvPr id="5" name="Chart 2"/>
        <xdr:cNvGraphicFramePr/>
      </xdr:nvGraphicFramePr>
      <xdr:xfrm>
        <a:off x="9210600" y="361260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16</xdr:col>
      <xdr:colOff>255960</xdr:colOff>
      <xdr:row>19</xdr:row>
      <xdr:rowOff>19800</xdr:rowOff>
    </xdr:to>
    <xdr:graphicFrame>
      <xdr:nvGraphicFramePr>
        <xdr:cNvPr id="6" name="Chart 1"/>
        <xdr:cNvGraphicFramePr/>
      </xdr:nvGraphicFramePr>
      <xdr:xfrm>
        <a:off x="8364960" y="190440"/>
        <a:ext cx="5759280" cy="35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99000</xdr:rowOff>
    </xdr:from>
    <xdr:to>
      <xdr:col>14</xdr:col>
      <xdr:colOff>493920</xdr:colOff>
      <xdr:row>20</xdr:row>
      <xdr:rowOff>120600</xdr:rowOff>
    </xdr:to>
    <xdr:graphicFrame>
      <xdr:nvGraphicFramePr>
        <xdr:cNvPr id="7" name="Chart 1"/>
        <xdr:cNvGraphicFramePr/>
      </xdr:nvGraphicFramePr>
      <xdr:xfrm>
        <a:off x="6696000" y="15181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8" min="3" style="1" width="12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" t="s">
        <v>2</v>
      </c>
      <c r="B4" s="5" t="n">
        <f aca="false">COUNTA('Pharma Companies'!A2:A141)</f>
        <v>140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3</v>
      </c>
      <c r="B5" s="6" t="n">
        <f aca="false">'Yearly Analysis'!F16</f>
        <v>0.125587410727169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4</v>
      </c>
      <c r="B6" s="6" t="n">
        <f aca="false">WPI!J4</f>
        <v>0.0305487251300323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5</v>
      </c>
      <c r="B7" s="6" t="n">
        <f aca="false">'Yearly Analysis'!G16</f>
        <v>0.0922214382295654</v>
      </c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6</v>
      </c>
      <c r="B8" s="7" t="n">
        <f aca="false">'Yearly Analysis'!F18</f>
        <v>3.26431657588097</v>
      </c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7</v>
      </c>
      <c r="B9" s="7" t="n">
        <f aca="false">'Yearly Analysis'!F19</f>
        <v>1.35109318616005</v>
      </c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 t="s">
        <v>8</v>
      </c>
      <c r="B10" s="8" t="n">
        <f aca="false">'Yearly Analysis'!F20</f>
        <v>0.745645640664437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3" t="s">
        <v>9</v>
      </c>
      <c r="B11" s="6" t="n">
        <f aca="false">'Yearly Analysis'!F10</f>
        <v>0.131299610745449</v>
      </c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3" t="s">
        <v>10</v>
      </c>
      <c r="B12" s="6" t="n">
        <f aca="false">'Yearly Analysis'!F14</f>
        <v>0.0810119506133644</v>
      </c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3" t="s">
        <v>11</v>
      </c>
      <c r="B13" s="6" t="n">
        <f aca="false">'Yearly Analysis'!F11</f>
        <v>0.00342929832341743</v>
      </c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3" t="s">
        <v>12</v>
      </c>
      <c r="B14" s="9" t="n">
        <f aca="false">'Yearly Analysis'!F22</f>
        <v>0.426419505885795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13</v>
      </c>
      <c r="B15" s="8" t="n">
        <f aca="false">'Size &amp; Distribution'!G8</f>
        <v>0.85</v>
      </c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 t="s">
        <v>14</v>
      </c>
      <c r="B16" s="8" t="n">
        <f aca="false">'Top 20 Pharma'!F23</f>
        <v>0.515985063331354</v>
      </c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4" t="s">
        <v>15</v>
      </c>
      <c r="B18" s="3"/>
      <c r="C18" s="3"/>
      <c r="D18" s="3"/>
      <c r="E18" s="3"/>
      <c r="F18" s="3"/>
      <c r="G18" s="3"/>
      <c r="H18" s="3"/>
    </row>
    <row r="19" customFormat="false" ht="48" hidden="false" customHeight="true" outlineLevel="0" collapsed="false">
      <c r="A19" s="10" t="s">
        <v>16</v>
      </c>
      <c r="B19" s="10"/>
      <c r="C19" s="10"/>
      <c r="D19" s="10"/>
      <c r="E19" s="10"/>
      <c r="F19" s="10"/>
      <c r="G19" s="10"/>
      <c r="H19" s="10"/>
    </row>
    <row r="20" customFormat="false" ht="48" hidden="false" customHeight="true" outlineLevel="0" collapsed="false">
      <c r="A20" s="10" t="s">
        <v>17</v>
      </c>
      <c r="B20" s="10"/>
      <c r="C20" s="10"/>
      <c r="D20" s="10"/>
      <c r="E20" s="10"/>
      <c r="F20" s="10"/>
      <c r="G20" s="10"/>
      <c r="H20" s="10"/>
    </row>
    <row r="21" customFormat="false" ht="48" hidden="false" customHeight="true" outlineLevel="0" collapsed="false">
      <c r="A21" s="10" t="s">
        <v>18</v>
      </c>
      <c r="B21" s="10"/>
      <c r="C21" s="10"/>
      <c r="D21" s="10"/>
      <c r="E21" s="10"/>
      <c r="F21" s="10"/>
      <c r="G21" s="10"/>
      <c r="H21" s="10"/>
    </row>
    <row r="22" customFormat="false" ht="48" hidden="false" customHeight="true" outlineLevel="0" collapsed="false">
      <c r="A22" s="10" t="s">
        <v>19</v>
      </c>
      <c r="B22" s="10"/>
      <c r="C22" s="10"/>
      <c r="D22" s="10"/>
      <c r="E22" s="10"/>
      <c r="F22" s="10"/>
      <c r="G22" s="10"/>
      <c r="H22" s="10"/>
    </row>
    <row r="23" customFormat="false" ht="48" hidden="false" customHeight="true" outlineLevel="0" collapsed="false">
      <c r="A23" s="10" t="s">
        <v>20</v>
      </c>
      <c r="B23" s="10"/>
      <c r="C23" s="10"/>
      <c r="D23" s="10"/>
      <c r="E23" s="10"/>
      <c r="F23" s="10"/>
      <c r="G23" s="10"/>
      <c r="H23" s="10"/>
    </row>
    <row r="24" customFormat="false" ht="48" hidden="false" customHeight="true" outlineLevel="0" collapsed="false">
      <c r="A24" s="10" t="s">
        <v>21</v>
      </c>
      <c r="B24" s="10"/>
      <c r="C24" s="10"/>
      <c r="D24" s="10"/>
      <c r="E24" s="10"/>
      <c r="F24" s="10"/>
      <c r="G24" s="10"/>
      <c r="H24" s="10"/>
    </row>
    <row r="25" customFormat="false" ht="48" hidden="false" customHeight="true" outlineLevel="0" collapsed="false">
      <c r="A25" s="10" t="s">
        <v>22</v>
      </c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0" t="s">
        <v>23</v>
      </c>
      <c r="B27" s="10"/>
      <c r="C27" s="10"/>
      <c r="D27" s="10"/>
      <c r="E27" s="10"/>
      <c r="F27" s="10"/>
      <c r="G27" s="10"/>
      <c r="H27" s="10"/>
    </row>
    <row r="28" customFormat="false" ht="26.25" hidden="false" customHeight="true" outlineLevel="0" collapsed="false">
      <c r="A28" s="10" t="s">
        <v>24</v>
      </c>
      <c r="B28" s="10"/>
      <c r="C28" s="10"/>
      <c r="D28" s="10"/>
      <c r="E28" s="10"/>
      <c r="F28" s="10"/>
      <c r="G28" s="10"/>
      <c r="H28" s="10"/>
    </row>
    <row r="29" customFormat="false" ht="26.25" hidden="false" customHeight="true" outlineLevel="0" collapsed="false">
      <c r="A29" s="10" t="s">
        <v>25</v>
      </c>
      <c r="B29" s="10"/>
      <c r="C29" s="10"/>
      <c r="D29" s="10"/>
      <c r="E29" s="10"/>
      <c r="F29" s="10"/>
      <c r="G29" s="10"/>
      <c r="H29" s="10"/>
    </row>
    <row r="30" customFormat="false" ht="15" hidden="false" customHeight="true" outlineLevel="0" collapsed="false">
      <c r="A30" s="10" t="s">
        <v>26</v>
      </c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0" t="s">
        <v>27</v>
      </c>
      <c r="B31" s="10"/>
      <c r="C31" s="10"/>
      <c r="D31" s="10"/>
      <c r="E31" s="10"/>
      <c r="F31" s="10"/>
      <c r="G31" s="10"/>
      <c r="H31" s="10"/>
    </row>
  </sheetData>
  <mergeCells count="13"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">
        <v>28</v>
      </c>
    </row>
    <row r="3" customFormat="false" ht="15" hidden="false" customHeight="false" outlineLevel="0" collapsed="false">
      <c r="A3" s="12" t="s">
        <v>29</v>
      </c>
      <c r="B3" s="12" t="s">
        <v>30</v>
      </c>
      <c r="C3" s="12" t="s">
        <v>31</v>
      </c>
      <c r="D3" s="12" t="s">
        <v>32</v>
      </c>
      <c r="E3" s="12" t="s">
        <v>33</v>
      </c>
    </row>
    <row r="4" customFormat="false" ht="60" hidden="false" customHeight="true" outlineLevel="0" collapsed="false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38</v>
      </c>
    </row>
    <row r="5" customFormat="false" ht="60" hidden="false" customHeight="true" outlineLevel="0" collapsed="false">
      <c r="A5" s="13" t="s">
        <v>39</v>
      </c>
      <c r="B5" s="13" t="s">
        <v>40</v>
      </c>
      <c r="C5" s="13" t="s">
        <v>41</v>
      </c>
      <c r="D5" s="13" t="s">
        <v>42</v>
      </c>
      <c r="E5" s="13" t="s">
        <v>43</v>
      </c>
    </row>
    <row r="6" customFormat="false" ht="60" hidden="false" customHeight="true" outlineLevel="0" collapsed="false">
      <c r="A6" s="13" t="s">
        <v>44</v>
      </c>
      <c r="B6" s="13" t="s">
        <v>45</v>
      </c>
      <c r="C6" s="13" t="s">
        <v>46</v>
      </c>
      <c r="D6" s="13" t="s">
        <v>47</v>
      </c>
      <c r="E6" s="13" t="s">
        <v>48</v>
      </c>
    </row>
    <row r="9" customFormat="false" ht="15" hidden="false" customHeight="false" outlineLevel="0" collapsed="false">
      <c r="A9" s="14" t="s">
        <v>49</v>
      </c>
    </row>
    <row r="10" customFormat="false" ht="26.85" hidden="false" customHeight="false" outlineLevel="0" collapsed="false">
      <c r="A10" s="12" t="s">
        <v>50</v>
      </c>
      <c r="B10" s="12" t="s">
        <v>51</v>
      </c>
      <c r="C10" s="12" t="s">
        <v>52</v>
      </c>
      <c r="D10" s="12" t="s">
        <v>53</v>
      </c>
      <c r="E10" s="12" t="s">
        <v>54</v>
      </c>
      <c r="F10" s="12" t="s">
        <v>55</v>
      </c>
    </row>
    <row r="11" customFormat="false" ht="34.5" hidden="false" customHeight="true" outlineLevel="0" collapsed="false">
      <c r="A11" s="13" t="s">
        <v>56</v>
      </c>
      <c r="B11" s="13" t="s">
        <v>57</v>
      </c>
      <c r="C11" s="15" t="n">
        <f aca="false">'Yearly Analysis'!I10</f>
        <v>-0.0351</v>
      </c>
      <c r="D11" s="15" t="n">
        <f aca="false">'Yearly Analysis'!F10</f>
        <v>0.131299610745449</v>
      </c>
      <c r="E11" s="15" t="n">
        <f aca="false">'Yearly Analysis'!H10</f>
        <v>0.0366812227074236</v>
      </c>
      <c r="F11" s="13" t="s">
        <v>58</v>
      </c>
    </row>
    <row r="12" customFormat="false" ht="34.5" hidden="false" customHeight="true" outlineLevel="0" collapsed="false">
      <c r="A12" s="13" t="s">
        <v>59</v>
      </c>
      <c r="B12" s="13" t="s">
        <v>60</v>
      </c>
      <c r="C12" s="15" t="n">
        <f aca="false">'Yearly Analysis'!I14</f>
        <v>-0.0651</v>
      </c>
      <c r="D12" s="15" t="n">
        <f aca="false">'Yearly Analysis'!F14</f>
        <v>0.0810119506133644</v>
      </c>
      <c r="E12" s="15" t="n">
        <f aca="false">'Yearly Analysis'!H14</f>
        <v>0.0307692307692307</v>
      </c>
      <c r="F12" s="13" t="s">
        <v>61</v>
      </c>
    </row>
    <row r="13" customFormat="false" ht="34.5" hidden="false" customHeight="true" outlineLevel="0" collapsed="false">
      <c r="A13" s="13" t="s">
        <v>62</v>
      </c>
      <c r="B13" s="13" t="s">
        <v>63</v>
      </c>
      <c r="C13" s="15" t="n">
        <f aca="false">'Yearly Analysis'!I11</f>
        <v>0.0754</v>
      </c>
      <c r="D13" s="15" t="n">
        <f aca="false">'Yearly Analysis'!F11</f>
        <v>0.00342929832341743</v>
      </c>
      <c r="E13" s="15" t="n">
        <f aca="false">'Yearly Analysis'!H11</f>
        <v>0.00842459983150801</v>
      </c>
      <c r="F13" s="13" t="s">
        <v>64</v>
      </c>
    </row>
    <row r="15" customFormat="false" ht="15" hidden="false" customHeight="false" outlineLevel="0" collapsed="false">
      <c r="A15" s="16" t="s">
        <v>65</v>
      </c>
    </row>
    <row r="16" customFormat="false" ht="15" hidden="false" customHeight="false" outlineLevel="0" collapsed="false">
      <c r="A16" s="1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8" min="6" style="1" width="11"/>
    <col collapsed="false" customWidth="true" hidden="false" outlineLevel="0" max="9" min="9" style="1" width="13"/>
    <col collapsed="false" customWidth="true" hidden="false" outlineLevel="0" max="10" min="10" style="1" width="11"/>
  </cols>
  <sheetData>
    <row r="1" customFormat="false" ht="15" hidden="false" customHeight="true" outlineLevel="0" collapsed="false">
      <c r="A1" s="17" t="s">
        <v>67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39" hidden="false" customHeight="true" outlineLevel="0" collapsed="false">
      <c r="A3" s="18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18" t="s">
        <v>73</v>
      </c>
      <c r="G3" s="18" t="s">
        <v>74</v>
      </c>
      <c r="H3" s="18" t="s">
        <v>75</v>
      </c>
      <c r="I3" s="18" t="s">
        <v>76</v>
      </c>
      <c r="J3" s="18" t="s">
        <v>77</v>
      </c>
    </row>
    <row r="4" customFormat="false" ht="15" hidden="false" customHeight="true" outlineLevel="0" collapsed="false">
      <c r="A4" s="3" t="s">
        <v>78</v>
      </c>
      <c r="B4" s="3" t="n">
        <f aca="false">COUNT('Pharma Companies'!C2:C141)</f>
        <v>140</v>
      </c>
      <c r="C4" s="19" t="n">
        <f aca="false">SUM('Pharma Companies'!C2:C141)</f>
        <v>57912.94</v>
      </c>
      <c r="D4" s="20" t="n">
        <f aca="false">WPI!C4</f>
        <v>94.22</v>
      </c>
      <c r="E4" s="19" t="n">
        <f aca="false">C4/D4*100</f>
        <v>61465.6548503502</v>
      </c>
      <c r="F4" s="3"/>
      <c r="G4" s="3"/>
      <c r="H4" s="3"/>
      <c r="I4" s="3"/>
      <c r="J4" s="3"/>
    </row>
    <row r="5" customFormat="false" ht="15" hidden="false" customHeight="true" outlineLevel="0" collapsed="false">
      <c r="A5" s="3" t="s">
        <v>79</v>
      </c>
      <c r="B5" s="3" t="n">
        <f aca="false">COUNT('Pharma Companies'!D2:D141)</f>
        <v>140</v>
      </c>
      <c r="C5" s="19" t="n">
        <f aca="false">SUM('Pharma Companies'!D2:D141)</f>
        <v>68673.12</v>
      </c>
      <c r="D5" s="20" t="n">
        <f aca="false">WPI!C5</f>
        <v>96.46</v>
      </c>
      <c r="E5" s="19" t="n">
        <f aca="false">C5/D5*100</f>
        <v>71193.3651254406</v>
      </c>
      <c r="F5" s="21" t="n">
        <f aca="false">C5/C4-1</f>
        <v>0.185799235887524</v>
      </c>
      <c r="G5" s="21" t="n">
        <f aca="false">E5/E4-1</f>
        <v>0.1582625337479</v>
      </c>
      <c r="H5" s="21" t="n">
        <f aca="false">D5/D4-1</f>
        <v>0.0237741456166418</v>
      </c>
      <c r="I5" s="21" t="n">
        <v>0.2252</v>
      </c>
      <c r="J5" s="22" t="n">
        <f aca="false">IFERROR(1-G5/F5,"")</f>
        <v>0.148206756653687</v>
      </c>
    </row>
    <row r="6" customFormat="false" ht="15" hidden="false" customHeight="true" outlineLevel="0" collapsed="false">
      <c r="A6" s="3" t="s">
        <v>80</v>
      </c>
      <c r="B6" s="3" t="n">
        <f aca="false">COUNT('Pharma Companies'!E2:E141)</f>
        <v>140</v>
      </c>
      <c r="C6" s="19" t="n">
        <f aca="false">SUM('Pharma Companies'!E2:E141)</f>
        <v>83316.15</v>
      </c>
      <c r="D6" s="20" t="n">
        <f aca="false">WPI!C6</f>
        <v>100</v>
      </c>
      <c r="E6" s="19" t="n">
        <f aca="false">C6/D6*100</f>
        <v>83316.15</v>
      </c>
      <c r="F6" s="21" t="n">
        <f aca="false">C6/C5-1</f>
        <v>0.213227970419867</v>
      </c>
      <c r="G6" s="21" t="n">
        <f aca="false">E6/E5-1</f>
        <v>0.170279700267004</v>
      </c>
      <c r="H6" s="21" t="n">
        <f aca="false">D6/D5-1</f>
        <v>0.0366991499066971</v>
      </c>
      <c r="I6" s="21" t="n">
        <v>0.2078</v>
      </c>
      <c r="J6" s="22" t="n">
        <f aca="false">IFERROR(1-G6/F6,"")</f>
        <v>0.201419495145472</v>
      </c>
    </row>
    <row r="7" customFormat="false" ht="15" hidden="false" customHeight="true" outlineLevel="0" collapsed="false">
      <c r="A7" s="3" t="s">
        <v>81</v>
      </c>
      <c r="B7" s="3" t="n">
        <f aca="false">COUNT('Pharma Companies'!F2:F141)</f>
        <v>140</v>
      </c>
      <c r="C7" s="19" t="n">
        <f aca="false">SUM('Pharma Companies'!F2:F141)</f>
        <v>99448.94</v>
      </c>
      <c r="D7" s="20" t="n">
        <f aca="false">WPI!C7</f>
        <v>104.8</v>
      </c>
      <c r="E7" s="19" t="n">
        <f aca="false">C7/D7*100</f>
        <v>94894.0267175573</v>
      </c>
      <c r="F7" s="21" t="n">
        <f aca="false">C7/C6-1</f>
        <v>0.193633407208567</v>
      </c>
      <c r="G7" s="21" t="n">
        <f aca="false">E7/E6-1</f>
        <v>0.138963174817334</v>
      </c>
      <c r="H7" s="21" t="n">
        <f aca="false">D7/D6-1</f>
        <v>0.048</v>
      </c>
      <c r="I7" s="21" t="n">
        <v>0.1036</v>
      </c>
      <c r="J7" s="22" t="n">
        <f aca="false">IFERROR(1-G7/F7,"")</f>
        <v>0.282338844207528</v>
      </c>
    </row>
    <row r="8" customFormat="false" ht="15" hidden="false" customHeight="true" outlineLevel="0" collapsed="false">
      <c r="A8" s="3" t="s">
        <v>82</v>
      </c>
      <c r="B8" s="3" t="n">
        <f aca="false">COUNT('Pharma Companies'!G2:G141)</f>
        <v>140</v>
      </c>
      <c r="C8" s="19" t="n">
        <f aca="false">SUM('Pharma Companies'!G2:G141)</f>
        <v>115428.76</v>
      </c>
      <c r="D8" s="20" t="n">
        <f aca="false">WPI!C8</f>
        <v>108.3</v>
      </c>
      <c r="E8" s="19" t="n">
        <f aca="false">C8/D8*100</f>
        <v>106582.41920591</v>
      </c>
      <c r="F8" s="21" t="n">
        <f aca="false">C8/C7-1</f>
        <v>0.160683663395507</v>
      </c>
      <c r="G8" s="21" t="n">
        <f aca="false">E8/E7-1</f>
        <v>0.123173111023538</v>
      </c>
      <c r="H8" s="21" t="n">
        <f aca="false">D8/D7-1</f>
        <v>0.0333969465648856</v>
      </c>
      <c r="I8" s="21" t="n">
        <v>0.0734</v>
      </c>
      <c r="J8" s="22" t="n">
        <f aca="false">IFERROR(1-G8/F8,"")</f>
        <v>0.233443472592734</v>
      </c>
    </row>
    <row r="9" customFormat="false" ht="15" hidden="false" customHeight="true" outlineLevel="0" collapsed="false">
      <c r="A9" s="3" t="s">
        <v>83</v>
      </c>
      <c r="B9" s="3" t="n">
        <f aca="false">COUNT('Pharma Companies'!H2:H141)</f>
        <v>140</v>
      </c>
      <c r="C9" s="19" t="n">
        <f aca="false">SUM('Pharma Companies'!H2:H141)</f>
        <v>133264.98</v>
      </c>
      <c r="D9" s="20" t="n">
        <f aca="false">WPI!C9</f>
        <v>114.5</v>
      </c>
      <c r="E9" s="19" t="n">
        <f aca="false">C9/D9*100</f>
        <v>116388.628820961</v>
      </c>
      <c r="F9" s="21" t="n">
        <f aca="false">C9/C8-1</f>
        <v>0.154521455484751</v>
      </c>
      <c r="G9" s="21" t="n">
        <f aca="false">E9/E8-1</f>
        <v>0.0920058832226947</v>
      </c>
      <c r="H9" s="21" t="n">
        <f aca="false">D9/D8-1</f>
        <v>0.0572483841181903</v>
      </c>
      <c r="I9" s="21" t="n">
        <v>0.0132</v>
      </c>
      <c r="J9" s="22" t="n">
        <f aca="false">IFERROR(1-G9/F9,"")</f>
        <v>0.404575352114942</v>
      </c>
    </row>
    <row r="10" customFormat="false" ht="15" hidden="false" customHeight="true" outlineLevel="0" collapsed="false">
      <c r="A10" s="3" t="s">
        <v>56</v>
      </c>
      <c r="B10" s="3" t="n">
        <f aca="false">COUNT('Pharma Companies'!I2:I141)</f>
        <v>140</v>
      </c>
      <c r="C10" s="19" t="n">
        <f aca="false">SUM('Pharma Companies'!I2:I141)</f>
        <v>150762.62</v>
      </c>
      <c r="D10" s="20" t="n">
        <f aca="false">WPI!C10</f>
        <v>118.7</v>
      </c>
      <c r="E10" s="19" t="n">
        <f aca="false">C10/D10*100</f>
        <v>127011.474304971</v>
      </c>
      <c r="F10" s="21" t="n">
        <f aca="false">C10/C9-1</f>
        <v>0.131299610745449</v>
      </c>
      <c r="G10" s="21" t="n">
        <f aca="false">E10/E9-1</f>
        <v>0.0912704754031497</v>
      </c>
      <c r="H10" s="21" t="n">
        <f aca="false">D10/D9-1</f>
        <v>0.0366812227074236</v>
      </c>
      <c r="I10" s="21" t="n">
        <v>-0.0351</v>
      </c>
      <c r="J10" s="22" t="n">
        <f aca="false">IFERROR(1-G10/F10,"")</f>
        <v>0.30486865204729</v>
      </c>
    </row>
    <row r="11" customFormat="false" ht="15" hidden="false" customHeight="true" outlineLevel="0" collapsed="false">
      <c r="A11" s="3" t="s">
        <v>62</v>
      </c>
      <c r="B11" s="3" t="n">
        <f aca="false">COUNT('Pharma Companies'!J2:J141)</f>
        <v>140</v>
      </c>
      <c r="C11" s="19" t="n">
        <f aca="false">SUM('Pharma Companies'!J2:J141)</f>
        <v>151279.63</v>
      </c>
      <c r="D11" s="20" t="n">
        <f aca="false">WPI!C11</f>
        <v>119.7</v>
      </c>
      <c r="E11" s="19" t="n">
        <f aca="false">C11/D11*100</f>
        <v>126382.31411863</v>
      </c>
      <c r="F11" s="21" t="n">
        <f aca="false">C11/C10-1</f>
        <v>0.00342929832341743</v>
      </c>
      <c r="G11" s="21" t="n">
        <f aca="false">E11/E10-1</f>
        <v>-0.00495356966591776</v>
      </c>
      <c r="H11" s="21" t="n">
        <f aca="false">D11/D10-1</f>
        <v>0.00842459983150801</v>
      </c>
      <c r="I11" s="21" t="n">
        <v>0.0754</v>
      </c>
      <c r="J11" s="22" t="n">
        <f aca="false">IFERROR(1-G11/F11,"")</f>
        <v>2.44448490587466</v>
      </c>
    </row>
    <row r="12" customFormat="false" ht="15" hidden="false" customHeight="true" outlineLevel="0" collapsed="false">
      <c r="A12" s="3" t="s">
        <v>84</v>
      </c>
      <c r="B12" s="3" t="n">
        <f aca="false">COUNT('Pharma Companies'!K2:K141)</f>
        <v>140</v>
      </c>
      <c r="C12" s="19" t="n">
        <f aca="false">SUM('Pharma Companies'!K2:K141)</f>
        <v>154058.54</v>
      </c>
      <c r="D12" s="20" t="n">
        <f aca="false">WPI!C12</f>
        <v>121.2</v>
      </c>
      <c r="E12" s="19" t="n">
        <f aca="false">C12/D12*100</f>
        <v>127111.00660066</v>
      </c>
      <c r="F12" s="21" t="n">
        <f aca="false">C12/C11-1</f>
        <v>0.0183693601048602</v>
      </c>
      <c r="G12" s="21" t="n">
        <f aca="false">E12/E11-1</f>
        <v>0.0057657789154435</v>
      </c>
      <c r="H12" s="21" t="n">
        <f aca="false">D12/D11-1</f>
        <v>0.0125313283208019</v>
      </c>
      <c r="I12" s="21" t="n">
        <v>0.0806</v>
      </c>
      <c r="J12" s="22" t="n">
        <f aca="false">IFERROR(1-G12/F12,"")</f>
        <v>0.686119773224002</v>
      </c>
    </row>
    <row r="13" customFormat="false" ht="15" hidden="false" customHeight="true" outlineLevel="0" collapsed="false">
      <c r="A13" s="3" t="s">
        <v>85</v>
      </c>
      <c r="B13" s="3" t="n">
        <f aca="false">COUNT('Pharma Companies'!L2:L141)</f>
        <v>140</v>
      </c>
      <c r="C13" s="19" t="n">
        <f aca="false">SUM('Pharma Companies'!L2:L141)</f>
        <v>174878.89</v>
      </c>
      <c r="D13" s="20" t="n">
        <f aca="false">WPI!C13</f>
        <v>123.5</v>
      </c>
      <c r="E13" s="19" t="n">
        <f aca="false">C13/D13*100</f>
        <v>141602.340080972</v>
      </c>
      <c r="F13" s="21" t="n">
        <f aca="false">C13/C12-1</f>
        <v>0.135145705002787</v>
      </c>
      <c r="G13" s="21" t="n">
        <f aca="false">E13/E12-1</f>
        <v>0.11400533964646</v>
      </c>
      <c r="H13" s="21" t="n">
        <f aca="false">D13/D12-1</f>
        <v>0.0189768976897688</v>
      </c>
      <c r="I13" s="21" t="n">
        <v>0.1523</v>
      </c>
      <c r="J13" s="22" t="n">
        <f aca="false">IFERROR(1-G13/F13,"")</f>
        <v>0.156426468424514</v>
      </c>
    </row>
    <row r="14" customFormat="false" ht="15" hidden="false" customHeight="true" outlineLevel="0" collapsed="false">
      <c r="A14" s="3" t="s">
        <v>59</v>
      </c>
      <c r="B14" s="3" t="n">
        <f aca="false">COUNT('Pharma Companies'!M2:M141)</f>
        <v>140</v>
      </c>
      <c r="C14" s="19" t="n">
        <f aca="false">SUM('Pharma Companies'!M2:M141)</f>
        <v>189046.17</v>
      </c>
      <c r="D14" s="20" t="n">
        <f aca="false">WPI!C14</f>
        <v>127.3</v>
      </c>
      <c r="E14" s="19" t="n">
        <f aca="false">C14/D14*100</f>
        <v>148504.454045562</v>
      </c>
      <c r="F14" s="21" t="n">
        <f aca="false">C14/C13-1</f>
        <v>0.0810119506133644</v>
      </c>
      <c r="G14" s="21" t="n">
        <f aca="false">E14/E13-1</f>
        <v>0.048742937162219</v>
      </c>
      <c r="H14" s="21" t="n">
        <f aca="false">D14/D13-1</f>
        <v>0.0307692307692307</v>
      </c>
      <c r="I14" s="21" t="n">
        <v>-0.0651</v>
      </c>
      <c r="J14" s="22" t="n">
        <f aca="false">IFERROR(1-G14/F14,"")</f>
        <v>0.398324113995868</v>
      </c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4" t="s">
        <v>86</v>
      </c>
      <c r="B16" s="3"/>
      <c r="C16" s="3"/>
      <c r="D16" s="3"/>
      <c r="E16" s="3"/>
      <c r="F16" s="6" t="n">
        <f aca="false">(C14/C4)^(1/10)-1</f>
        <v>0.125587410727169</v>
      </c>
      <c r="G16" s="6" t="n">
        <f aca="false">(E14/E4)^(1/10)-1</f>
        <v>0.0922214382295654</v>
      </c>
      <c r="H16" s="6" t="n">
        <f aca="false">(D14/D4)^(1/10)-1</f>
        <v>0.0305487251300323</v>
      </c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 t="s">
        <v>87</v>
      </c>
      <c r="B18" s="3"/>
      <c r="C18" s="3"/>
      <c r="D18" s="3"/>
      <c r="E18" s="3"/>
      <c r="F18" s="7" t="n">
        <f aca="false">C14/C4</f>
        <v>3.26431657588097</v>
      </c>
      <c r="G18" s="3"/>
      <c r="H18" s="3"/>
      <c r="I18" s="3"/>
      <c r="J18" s="3"/>
    </row>
    <row r="19" customFormat="false" ht="15" hidden="false" customHeight="true" outlineLevel="0" collapsed="false">
      <c r="A19" s="3" t="s">
        <v>88</v>
      </c>
      <c r="B19" s="3"/>
      <c r="C19" s="3"/>
      <c r="D19" s="3"/>
      <c r="E19" s="3"/>
      <c r="F19" s="7" t="n">
        <f aca="false">D14/D4</f>
        <v>1.35109318616005</v>
      </c>
      <c r="G19" s="3"/>
      <c r="H19" s="3"/>
      <c r="I19" s="3"/>
      <c r="J19" s="3"/>
    </row>
    <row r="20" customFormat="false" ht="15" hidden="false" customHeight="true" outlineLevel="0" collapsed="false">
      <c r="A20" s="3" t="s">
        <v>89</v>
      </c>
      <c r="B20" s="3"/>
      <c r="C20" s="3"/>
      <c r="D20" s="3"/>
      <c r="E20" s="3"/>
      <c r="F20" s="8" t="n">
        <f aca="false">LN(E14/E4)/LN(C14/C4)</f>
        <v>0.745645640664437</v>
      </c>
      <c r="G20" s="3"/>
      <c r="H20" s="3"/>
      <c r="I20" s="3"/>
      <c r="J20" s="3"/>
    </row>
    <row r="21" customFormat="false" ht="15" hidden="false" customHeight="true" outlineLevel="0" collapsed="false">
      <c r="A21" s="3" t="s">
        <v>90</v>
      </c>
      <c r="B21" s="3"/>
      <c r="C21" s="3"/>
      <c r="D21" s="3"/>
      <c r="E21" s="3"/>
      <c r="F21" s="9" t="n">
        <f aca="false">CORREL(F5:F14,H5:H14)</f>
        <v>0.682775042980617</v>
      </c>
      <c r="G21" s="3"/>
      <c r="H21" s="3"/>
      <c r="I21" s="3"/>
      <c r="J21" s="3"/>
    </row>
    <row r="22" customFormat="false" ht="15" hidden="false" customHeight="true" outlineLevel="0" collapsed="false">
      <c r="A22" s="3" t="s">
        <v>91</v>
      </c>
      <c r="B22" s="3"/>
      <c r="C22" s="3"/>
      <c r="D22" s="3"/>
      <c r="E22" s="3"/>
      <c r="F22" s="9" t="n">
        <f aca="false">CORREL(F5:F14,I5:I14)</f>
        <v>0.426419505885795</v>
      </c>
      <c r="G22" s="3"/>
      <c r="H22" s="3"/>
      <c r="I22" s="3"/>
      <c r="J22" s="3"/>
    </row>
    <row r="23" customFormat="false" ht="15" hidden="false" customHeight="true" outlineLevel="0" collapsed="false">
      <c r="A23" s="3" t="s">
        <v>92</v>
      </c>
      <c r="B23" s="3"/>
      <c r="C23" s="3"/>
      <c r="D23" s="3"/>
      <c r="E23" s="3"/>
      <c r="F23" s="6" t="n">
        <f aca="false">STDEV(F5:F14)</f>
        <v>0.0718715257767908</v>
      </c>
      <c r="G23" s="3"/>
      <c r="H23" s="3"/>
      <c r="I23" s="3"/>
      <c r="J23" s="3"/>
    </row>
    <row r="24" customFormat="false" ht="15" hidden="false" customHeight="true" outlineLevel="0" collapsed="false">
      <c r="A24" s="3" t="s">
        <v>93</v>
      </c>
      <c r="B24" s="3"/>
      <c r="C24" s="3"/>
      <c r="D24" s="3"/>
      <c r="E24" s="3"/>
      <c r="F24" s="6" t="n">
        <f aca="false">STDEV(I5:I14)</f>
        <v>0.095412263945004</v>
      </c>
      <c r="G24" s="3"/>
      <c r="H24" s="3"/>
      <c r="I24" s="3"/>
      <c r="J24" s="3"/>
    </row>
    <row r="25" customFormat="false" ht="15" hidden="false" customHeight="true" outlineLevel="0" collapsed="false">
      <c r="A25" s="3" t="s">
        <v>94</v>
      </c>
      <c r="B25" s="3"/>
      <c r="C25" s="3"/>
      <c r="D25" s="3"/>
      <c r="E25" s="3"/>
      <c r="F25" s="6" t="n">
        <f aca="false">(C8/C4)^(1/4)-1</f>
        <v>0.18818647449547</v>
      </c>
      <c r="G25" s="3"/>
      <c r="H25" s="3"/>
      <c r="I25" s="3"/>
      <c r="J25" s="3"/>
    </row>
    <row r="26" customFormat="false" ht="15" hidden="false" customHeight="true" outlineLevel="0" collapsed="false">
      <c r="A26" s="3" t="s">
        <v>95</v>
      </c>
      <c r="B26" s="3"/>
      <c r="C26" s="3"/>
      <c r="D26" s="3"/>
      <c r="E26" s="3"/>
      <c r="F26" s="6" t="n">
        <f aca="false">(C14/C8)^(1/6)-1</f>
        <v>0.0856978442143617</v>
      </c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 t="s">
        <v>96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 t="s">
        <v>97</v>
      </c>
      <c r="B29" s="3"/>
      <c r="C29" s="3"/>
      <c r="D29" s="3"/>
      <c r="E29" s="3"/>
      <c r="F29" s="3"/>
      <c r="G29" s="3"/>
      <c r="H29" s="3"/>
      <c r="I29" s="3"/>
      <c r="J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7" min="6" style="1" width="16"/>
  </cols>
  <sheetData>
    <row r="1" customFormat="false" ht="15" hidden="false" customHeight="true" outlineLevel="0" collapsed="false">
      <c r="A1" s="17" t="s">
        <v>98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39" hidden="false" customHeight="true" outlineLevel="0" collapsed="false">
      <c r="A3" s="18" t="s">
        <v>99</v>
      </c>
      <c r="B3" s="18" t="s">
        <v>69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</row>
    <row r="4" customFormat="false" ht="15" hidden="false" customHeight="true" outlineLevel="0" collapsed="false">
      <c r="A4" s="3" t="s">
        <v>105</v>
      </c>
      <c r="B4" s="3" t="n">
        <f aca="false">COUNTIF('Pharma Companies'!$B$2:$B$141,"Small")</f>
        <v>35</v>
      </c>
      <c r="C4" s="19" t="n">
        <f aca="false">SUMIF('Pharma Companies'!$B$2:$B$141,"Small",'Pharma Companies'!$C$2:$C$141)</f>
        <v>503.45</v>
      </c>
      <c r="D4" s="19" t="n">
        <f aca="false">SUMIF('Pharma Companies'!$B$2:$B$141,"Small",'Pharma Companies'!$M$2:$M$141)</f>
        <v>2350.75</v>
      </c>
      <c r="E4" s="21" t="n">
        <f aca="false">(D4/C4)^(1/10)-1</f>
        <v>0.16660816032806</v>
      </c>
      <c r="F4" s="21" t="n">
        <v>0.1399</v>
      </c>
      <c r="G4" s="22" t="n">
        <f aca="false">COUNTIFS('Pharma Companies'!$B$2:$B$141,"Small",'Pharma Companies'!$P$2:$P$141,"Yes")/B4</f>
        <v>0.942857142857143</v>
      </c>
    </row>
    <row r="5" customFormat="false" ht="15" hidden="false" customHeight="true" outlineLevel="0" collapsed="false">
      <c r="A5" s="3" t="s">
        <v>106</v>
      </c>
      <c r="B5" s="3" t="n">
        <f aca="false">COUNTIF('Pharma Companies'!$B$2:$B$141,"Lower-mid")</f>
        <v>35</v>
      </c>
      <c r="C5" s="19" t="n">
        <f aca="false">SUMIF('Pharma Companies'!$B$2:$B$141,"Lower-mid",'Pharma Companies'!$C$2:$C$141)</f>
        <v>2548.26</v>
      </c>
      <c r="D5" s="19" t="n">
        <f aca="false">SUMIF('Pharma Companies'!$B$2:$B$141,"Lower-mid",'Pharma Companies'!$M$2:$M$141)</f>
        <v>7857.34</v>
      </c>
      <c r="E5" s="21" t="n">
        <f aca="false">(D5/C5)^(1/10)-1</f>
        <v>0.119188350280937</v>
      </c>
      <c r="F5" s="21" t="n">
        <v>0.1067</v>
      </c>
      <c r="G5" s="22" t="n">
        <f aca="false">COUNTIFS('Pharma Companies'!$B$2:$B$141,"Lower-mid",'Pharma Companies'!$P$2:$P$141,"Yes")/B5</f>
        <v>0.857142857142857</v>
      </c>
    </row>
    <row r="6" customFormat="false" ht="15" hidden="false" customHeight="true" outlineLevel="0" collapsed="false">
      <c r="A6" s="3" t="s">
        <v>107</v>
      </c>
      <c r="B6" s="3" t="n">
        <f aca="false">COUNTIF('Pharma Companies'!$B$2:$B$141,"Upper-mid")</f>
        <v>35</v>
      </c>
      <c r="C6" s="19" t="n">
        <f aca="false">SUMIF('Pharma Companies'!$B$2:$B$141,"Upper-mid",'Pharma Companies'!$C$2:$C$141)</f>
        <v>7960.14</v>
      </c>
      <c r="D6" s="19" t="n">
        <f aca="false">SUMIF('Pharma Companies'!$B$2:$B$141,"Upper-mid",'Pharma Companies'!$M$2:$M$141)</f>
        <v>27379.64</v>
      </c>
      <c r="E6" s="21" t="n">
        <f aca="false">(D6/C6)^(1/10)-1</f>
        <v>0.131489954919635</v>
      </c>
      <c r="F6" s="21" t="n">
        <v>0.0964</v>
      </c>
      <c r="G6" s="22" t="n">
        <f aca="false">COUNTIFS('Pharma Companies'!$B$2:$B$141,"Upper-mid",'Pharma Companies'!$P$2:$P$141,"Yes")/B6</f>
        <v>0.771428571428572</v>
      </c>
    </row>
    <row r="7" customFormat="false" ht="15" hidden="false" customHeight="true" outlineLevel="0" collapsed="false">
      <c r="A7" s="3" t="s">
        <v>108</v>
      </c>
      <c r="B7" s="3" t="n">
        <f aca="false">COUNTIF('Pharma Companies'!$B$2:$B$141,"Large")</f>
        <v>35</v>
      </c>
      <c r="C7" s="19" t="n">
        <f aca="false">SUMIF('Pharma Companies'!$B$2:$B$141,"Large",'Pharma Companies'!$C$2:$C$141)</f>
        <v>46901.09</v>
      </c>
      <c r="D7" s="19" t="n">
        <f aca="false">SUMIF('Pharma Companies'!$B$2:$B$141,"Large",'Pharma Companies'!$M$2:$M$141)</f>
        <v>151458.44</v>
      </c>
      <c r="E7" s="21" t="n">
        <f aca="false">(D7/C7)^(1/10)-1</f>
        <v>0.124374672867255</v>
      </c>
      <c r="F7" s="21" t="n">
        <v>0.1048</v>
      </c>
      <c r="G7" s="22" t="n">
        <f aca="false">COUNTIFS('Pharma Companies'!$B$2:$B$141,"Large",'Pharma Companies'!$P$2:$P$141,"Yes")/B7</f>
        <v>0.828571428571429</v>
      </c>
    </row>
    <row r="8" customFormat="false" ht="15" hidden="false" customHeight="true" outlineLevel="0" collapsed="false">
      <c r="A8" s="3" t="s">
        <v>109</v>
      </c>
      <c r="B8" s="3" t="n">
        <f aca="false">COUNTIF('Pharma Companies'!$B$2:$B$141,"*")</f>
        <v>140</v>
      </c>
      <c r="C8" s="19" t="n">
        <f aca="false">SUMIF('Pharma Companies'!$B$2:$B$141,"*",'Pharma Companies'!$C$2:$C$141)</f>
        <v>57912.94</v>
      </c>
      <c r="D8" s="19" t="n">
        <f aca="false">SUMIF('Pharma Companies'!$B$2:$B$141,"*",'Pharma Companies'!$M$2:$M$141)</f>
        <v>189046.17</v>
      </c>
      <c r="E8" s="21" t="n">
        <f aca="false">(D8/C8)^(1/10)-1</f>
        <v>0.125587410727169</v>
      </c>
      <c r="F8" s="21" t="n">
        <v>0.108</v>
      </c>
      <c r="G8" s="22" t="n">
        <f aca="false">COUNTIFS('Pharma Companies'!$B$2:$B$141,"*",'Pharma Companies'!$P$2:$P$141,"Yes")/B8</f>
        <v>0.85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3" t="s">
        <v>110</v>
      </c>
      <c r="B10" s="3"/>
      <c r="C10" s="3"/>
      <c r="D10" s="3"/>
      <c r="E10" s="3"/>
      <c r="F10" s="3"/>
      <c r="G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A12" s="18" t="s">
        <v>111</v>
      </c>
      <c r="B12" s="18" t="s">
        <v>69</v>
      </c>
      <c r="C12" s="18" t="s">
        <v>112</v>
      </c>
      <c r="D12" s="3"/>
      <c r="E12" s="3"/>
      <c r="F12" s="3"/>
      <c r="G12" s="3"/>
    </row>
    <row r="13" customFormat="false" ht="15" hidden="false" customHeight="true" outlineLevel="0" collapsed="false">
      <c r="A13" s="3" t="s">
        <v>113</v>
      </c>
      <c r="B13" s="3" t="n">
        <f aca="false">COUNTIF('Pharma Companies'!$N$2:$N$141,"&lt;0")</f>
        <v>12</v>
      </c>
      <c r="C13" s="21" t="n">
        <f aca="false">B13/SUM($B$13:$B$17)</f>
        <v>0.0857142857142857</v>
      </c>
      <c r="D13" s="3"/>
      <c r="E13" s="3"/>
      <c r="F13" s="3"/>
      <c r="G13" s="3"/>
    </row>
    <row r="14" customFormat="false" ht="15" hidden="false" customHeight="true" outlineLevel="0" collapsed="false">
      <c r="A14" s="3" t="s">
        <v>114</v>
      </c>
      <c r="B14" s="3" t="n">
        <f aca="false">COUNTIFS('Pharma Companies'!$N$2:$N$141,"&gt;=0",'Pharma Companies'!$O$2:$O$141,"&lt;=0")</f>
        <v>9</v>
      </c>
      <c r="C14" s="21" t="n">
        <f aca="false">B14/SUM($B$13:$B$17)</f>
        <v>0.0642857142857143</v>
      </c>
      <c r="D14" s="3"/>
      <c r="E14" s="3"/>
      <c r="F14" s="3"/>
      <c r="G14" s="3"/>
    </row>
    <row r="15" customFormat="false" ht="15" hidden="false" customHeight="true" outlineLevel="0" collapsed="false">
      <c r="A15" s="3" t="s">
        <v>115</v>
      </c>
      <c r="B15" s="3" t="n">
        <f aca="false">COUNTIFS('Pharma Companies'!$O$2:$O$141,"&gt;0",'Pharma Companies'!$N$2:$N$141,"&lt;0.1")</f>
        <v>40</v>
      </c>
      <c r="C15" s="21" t="n">
        <f aca="false">B15/SUM($B$13:$B$17)</f>
        <v>0.285714285714286</v>
      </c>
      <c r="D15" s="3"/>
      <c r="E15" s="3"/>
      <c r="F15" s="3"/>
      <c r="G15" s="3"/>
    </row>
    <row r="16" customFormat="false" ht="15" hidden="false" customHeight="true" outlineLevel="0" collapsed="false">
      <c r="A16" s="3" t="s">
        <v>116</v>
      </c>
      <c r="B16" s="3" t="n">
        <f aca="false">COUNTIFS('Pharma Companies'!$N$2:$N$141,"&gt;=0.1",'Pharma Companies'!$N$2:$N$141,"&lt;0.2")</f>
        <v>59</v>
      </c>
      <c r="C16" s="21" t="n">
        <f aca="false">B16/SUM($B$13:$B$17)</f>
        <v>0.421428571428571</v>
      </c>
      <c r="D16" s="3"/>
      <c r="E16" s="3"/>
      <c r="F16" s="3"/>
      <c r="G16" s="3"/>
    </row>
    <row r="17" customFormat="false" ht="15" hidden="false" customHeight="true" outlineLevel="0" collapsed="false">
      <c r="A17" s="3" t="s">
        <v>117</v>
      </c>
      <c r="B17" s="3" t="n">
        <f aca="false">COUNTIF('Pharma Companies'!$N$2:$N$141,"&gt;=0.2")</f>
        <v>20</v>
      </c>
      <c r="C17" s="21" t="n">
        <f aca="false">B17/SUM($B$13:$B$17)</f>
        <v>0.142857142857143</v>
      </c>
      <c r="D17" s="3"/>
      <c r="E17" s="3"/>
      <c r="F17" s="3"/>
      <c r="G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true" outlineLevel="0" collapsed="false">
      <c r="A19" s="3" t="s">
        <v>118</v>
      </c>
      <c r="B19" s="3"/>
      <c r="C19" s="21" t="n">
        <f aca="false">COUNTIF('Pharma Companies'!Q2:Q141,"&lt;0")/140</f>
        <v>0.335714285714286</v>
      </c>
      <c r="D19" s="3"/>
      <c r="E19" s="3"/>
      <c r="F19" s="3"/>
      <c r="G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26.25" hidden="false" customHeight="true" outlineLevel="0" collapsed="false">
      <c r="A1" s="18" t="s">
        <v>119</v>
      </c>
      <c r="B1" s="18" t="s">
        <v>100</v>
      </c>
      <c r="C1" s="18" t="s">
        <v>101</v>
      </c>
      <c r="D1" s="18" t="s">
        <v>120</v>
      </c>
      <c r="E1" s="18" t="s">
        <v>121</v>
      </c>
      <c r="F1" s="18" t="s">
        <v>122</v>
      </c>
    </row>
    <row r="2" customFormat="false" ht="15" hidden="false" customHeight="true" outlineLevel="0" collapsed="false">
      <c r="A2" s="3" t="s">
        <v>123</v>
      </c>
      <c r="B2" s="19" t="n">
        <v>1853</v>
      </c>
      <c r="C2" s="19" t="n">
        <v>13136</v>
      </c>
      <c r="D2" s="21" t="n">
        <f aca="false">(C2/B2)^(1/10)-1</f>
        <v>0.21635059535986</v>
      </c>
      <c r="E2" s="21" t="n">
        <f aca="false">(1+D2)/(1+WPI!$J$5)-1</f>
        <v>0.180294114872039</v>
      </c>
      <c r="F2" s="21" t="n">
        <f aca="false">C2/SUM('Pharma Companies'!$M$2:$M$141)</f>
        <v>0.069485671145837</v>
      </c>
    </row>
    <row r="3" customFormat="false" ht="15" hidden="false" customHeight="true" outlineLevel="0" collapsed="false">
      <c r="A3" s="3" t="s">
        <v>124</v>
      </c>
      <c r="B3" s="19" t="n">
        <v>3130</v>
      </c>
      <c r="C3" s="19" t="n">
        <v>13022</v>
      </c>
      <c r="D3" s="21" t="n">
        <f aca="false">(C3/B3)^(1/10)-1</f>
        <v>0.153223106028233</v>
      </c>
      <c r="E3" s="21" t="n">
        <f aca="false">(1+D3)/(1+WPI!$J$5)-1</f>
        <v>0.119037924075567</v>
      </c>
      <c r="F3" s="21" t="n">
        <f aca="false">C3/SUM('Pharma Companies'!$M$2:$M$141)</f>
        <v>0.0688826438536152</v>
      </c>
    </row>
    <row r="4" customFormat="false" ht="15" hidden="false" customHeight="true" outlineLevel="0" collapsed="false">
      <c r="A4" s="3" t="s">
        <v>125</v>
      </c>
      <c r="B4" s="19" t="n">
        <v>5412</v>
      </c>
      <c r="C4" s="19" t="n">
        <v>12220</v>
      </c>
      <c r="D4" s="21" t="n">
        <f aca="false">(C4/B4)^(1/10)-1</f>
        <v>0.0848541178339797</v>
      </c>
      <c r="E4" s="21" t="n">
        <f aca="false">(1+D4)/(1+WPI!$J$5)-1</f>
        <v>0.0526956090281858</v>
      </c>
      <c r="F4" s="21" t="n">
        <f aca="false">C4/SUM('Pharma Companies'!$M$2:$M$141)</f>
        <v>0.0646402939557041</v>
      </c>
    </row>
    <row r="5" customFormat="false" ht="15" hidden="false" customHeight="true" outlineLevel="0" collapsed="false">
      <c r="A5" s="3" t="s">
        <v>126</v>
      </c>
      <c r="B5" s="19" t="n">
        <v>1867</v>
      </c>
      <c r="C5" s="19" t="n">
        <v>11609</v>
      </c>
      <c r="D5" s="21" t="n">
        <f aca="false">(C5/B5)^(1/10)-1</f>
        <v>0.20050797470844</v>
      </c>
      <c r="E5" s="21" t="n">
        <f aca="false">(1+D5)/(1+WPI!$J$5)-1</f>
        <v>0.164921119626792</v>
      </c>
      <c r="F5" s="21" t="n">
        <f aca="false">C5/SUM('Pharma Companies'!$M$2:$M$141)</f>
        <v>0.0614082792579188</v>
      </c>
    </row>
    <row r="6" customFormat="false" ht="15" hidden="false" customHeight="true" outlineLevel="0" collapsed="false">
      <c r="A6" s="3" t="s">
        <v>127</v>
      </c>
      <c r="B6" s="19" t="n">
        <v>4248</v>
      </c>
      <c r="C6" s="19" t="n">
        <v>10992</v>
      </c>
      <c r="D6" s="21" t="n">
        <f aca="false">(C6/B6)^(1/10)-1</f>
        <v>0.0997379730978647</v>
      </c>
      <c r="E6" s="21" t="n">
        <f aca="false">(1+D6)/(1+WPI!$J$5)-1</f>
        <v>0.0671382597257615</v>
      </c>
      <c r="F6" s="21" t="n">
        <f aca="false">C6/SUM('Pharma Companies'!$M$2:$M$141)</f>
        <v>0.0581445262815957</v>
      </c>
    </row>
    <row r="7" customFormat="false" ht="15" hidden="false" customHeight="true" outlineLevel="0" collapsed="false">
      <c r="A7" s="3" t="s">
        <v>128</v>
      </c>
      <c r="B7" s="19" t="n">
        <v>3107</v>
      </c>
      <c r="C7" s="19" t="n">
        <v>10633</v>
      </c>
      <c r="D7" s="21" t="n">
        <f aca="false">(C7/B7)^(1/10)-1</f>
        <v>0.130918884299811</v>
      </c>
      <c r="E7" s="21" t="n">
        <f aca="false">(1+D7)/(1+WPI!$J$5)-1</f>
        <v>0.0973948700553815</v>
      </c>
      <c r="F7" s="21" t="n">
        <f aca="false">C7/SUM('Pharma Companies'!$M$2:$M$141)</f>
        <v>0.056245519282406</v>
      </c>
    </row>
    <row r="8" customFormat="false" ht="15" hidden="false" customHeight="true" outlineLevel="0" collapsed="false">
      <c r="A8" s="3" t="s">
        <v>129</v>
      </c>
      <c r="B8" s="19" t="n">
        <v>1343</v>
      </c>
      <c r="C8" s="19" t="n">
        <v>6775</v>
      </c>
      <c r="D8" s="21" t="n">
        <f aca="false">(C8/B8)^(1/10)-1</f>
        <v>0.175664294569528</v>
      </c>
      <c r="E8" s="21" t="n">
        <f aca="false">(1+D8)/(1+WPI!$J$5)-1</f>
        <v>0.140813884778893</v>
      </c>
      <c r="F8" s="21" t="n">
        <f aca="false">C8/SUM('Pharma Companies'!$M$2:$M$141)</f>
        <v>0.0358378061824791</v>
      </c>
    </row>
    <row r="9" customFormat="false" ht="15" hidden="false" customHeight="true" outlineLevel="0" collapsed="false">
      <c r="A9" s="3" t="s">
        <v>130</v>
      </c>
      <c r="B9" s="19" t="n">
        <v>993</v>
      </c>
      <c r="C9" s="19" t="n">
        <v>6719</v>
      </c>
      <c r="D9" s="21" t="n">
        <f aca="false">(C9/B9)^(1/10)-1</f>
        <v>0.210697203475027</v>
      </c>
      <c r="E9" s="21" t="n">
        <f aca="false">(1+D9)/(1+WPI!$J$5)-1</f>
        <v>0.174808307411436</v>
      </c>
      <c r="F9" s="21" t="n">
        <f aca="false">C9/SUM('Pharma Companies'!$M$2:$M$141)</f>
        <v>0.0355415822494579</v>
      </c>
    </row>
    <row r="10" customFormat="false" ht="15" hidden="false" customHeight="true" outlineLevel="0" collapsed="false">
      <c r="A10" s="3" t="s">
        <v>131</v>
      </c>
      <c r="B10" s="19" t="n">
        <v>1028</v>
      </c>
      <c r="C10" s="19" t="n">
        <v>6413</v>
      </c>
      <c r="D10" s="21" t="n">
        <f aca="false">(C10/B10)^(1/10)-1</f>
        <v>0.200899910687719</v>
      </c>
      <c r="E10" s="21" t="n">
        <f aca="false">(1+D10)/(1+WPI!$J$5)-1</f>
        <v>0.16530143738346</v>
      </c>
      <c r="F10" s="21" t="n">
        <f aca="false">C10/SUM('Pharma Companies'!$M$2:$M$141)</f>
        <v>0.0339229300440205</v>
      </c>
    </row>
    <row r="11" customFormat="false" ht="15" hidden="false" customHeight="true" outlineLevel="0" collapsed="false">
      <c r="A11" s="3" t="s">
        <v>132</v>
      </c>
      <c r="B11" s="19" t="n">
        <v>1374</v>
      </c>
      <c r="C11" s="19" t="n">
        <v>6026</v>
      </c>
      <c r="D11" s="21" t="n">
        <f aca="false">(C11/B11)^(1/10)-1</f>
        <v>0.159322432668066</v>
      </c>
      <c r="E11" s="21" t="n">
        <f aca="false">(1+D11)/(1+WPI!$J$5)-1</f>
        <v>0.124956447373981</v>
      </c>
      <c r="F11" s="21" t="n">
        <f aca="false">C11/SUM('Pharma Companies'!$M$2:$M$141)</f>
        <v>0.0318758110783202</v>
      </c>
    </row>
    <row r="12" customFormat="false" ht="15" hidden="false" customHeight="true" outlineLevel="0" collapsed="false">
      <c r="A12" s="3" t="s">
        <v>133</v>
      </c>
      <c r="B12" s="19" t="n">
        <v>1550</v>
      </c>
      <c r="C12" s="19" t="n">
        <v>5971</v>
      </c>
      <c r="D12" s="21" t="n">
        <f aca="false">(C12/B12)^(1/10)-1</f>
        <v>0.144383367948617</v>
      </c>
      <c r="E12" s="21" t="n">
        <f aca="false">(1+D12)/(1+WPI!$J$5)-1</f>
        <v>0.1104602238038</v>
      </c>
      <c r="F12" s="21" t="n">
        <f aca="false">C12/SUM('Pharma Companies'!$M$2:$M$141)</f>
        <v>0.0315848768583886</v>
      </c>
    </row>
    <row r="13" customFormat="false" ht="15" hidden="false" customHeight="true" outlineLevel="0" collapsed="false">
      <c r="A13" s="3" t="s">
        <v>134</v>
      </c>
      <c r="B13" s="19" t="n">
        <v>935</v>
      </c>
      <c r="C13" s="19" t="n">
        <v>5198</v>
      </c>
      <c r="D13" s="21" t="n">
        <f aca="false">(C13/B13)^(1/10)-1</f>
        <v>0.187141442994473</v>
      </c>
      <c r="E13" s="21" t="n">
        <f aca="false">(1+D13)/(1+WPI!$J$5)-1</f>
        <v>0.151950814207918</v>
      </c>
      <c r="F13" s="21" t="n">
        <f aca="false">C13/SUM('Pharma Companies'!$M$2:$M$141)</f>
        <v>0.0274959286400777</v>
      </c>
    </row>
    <row r="14" customFormat="false" ht="15" hidden="false" customHeight="true" outlineLevel="0" collapsed="false">
      <c r="A14" s="3" t="s">
        <v>135</v>
      </c>
      <c r="B14" s="19" t="n">
        <v>903</v>
      </c>
      <c r="C14" s="19" t="n">
        <v>4982</v>
      </c>
      <c r="D14" s="21" t="n">
        <f aca="false">(C14/B14)^(1/10)-1</f>
        <v>0.18623735855522</v>
      </c>
      <c r="E14" s="21" t="n">
        <f aca="false">(1+D14)/(1+WPI!$J$5)-1</f>
        <v>0.151073529692197</v>
      </c>
      <c r="F14" s="21" t="n">
        <f aca="false">C14/SUM('Pharma Companies'!$M$2:$M$141)</f>
        <v>0.0263533506127101</v>
      </c>
    </row>
    <row r="15" customFormat="false" ht="15" hidden="false" customHeight="true" outlineLevel="0" collapsed="false">
      <c r="A15" s="3" t="s">
        <v>136</v>
      </c>
      <c r="B15" s="19" t="n">
        <v>567</v>
      </c>
      <c r="C15" s="19" t="n">
        <v>4836</v>
      </c>
      <c r="D15" s="21" t="n">
        <f aca="false">(C15/B15)^(1/10)-1</f>
        <v>0.239054254710267</v>
      </c>
      <c r="E15" s="21" t="n">
        <f aca="false">(1+D15)/(1+WPI!$J$5)-1</f>
        <v>0.202324765919172</v>
      </c>
      <c r="F15" s="21" t="n">
        <f aca="false">C15/SUM('Pharma Companies'!$M$2:$M$141)</f>
        <v>0.0255810525016191</v>
      </c>
    </row>
    <row r="16" customFormat="false" ht="15" hidden="false" customHeight="true" outlineLevel="0" collapsed="false">
      <c r="A16" s="3" t="s">
        <v>137</v>
      </c>
      <c r="B16" s="19" t="n">
        <v>1589</v>
      </c>
      <c r="C16" s="19" t="n">
        <v>4303</v>
      </c>
      <c r="D16" s="21" t="n">
        <f aca="false">(C16/B16)^(1/10)-1</f>
        <v>0.104751868798311</v>
      </c>
      <c r="E16" s="21" t="n">
        <f aca="false">(1+D16)/(1+WPI!$J$5)-1</f>
        <v>0.0720035276924109</v>
      </c>
      <c r="F16" s="21" t="n">
        <f aca="false">C16/SUM('Pharma Companies'!$M$2:$M$141)</f>
        <v>0.0227616354248277</v>
      </c>
    </row>
    <row r="17" customFormat="false" ht="15" hidden="false" customHeight="true" outlineLevel="0" collapsed="false">
      <c r="A17" s="3" t="s">
        <v>138</v>
      </c>
      <c r="B17" s="19" t="n">
        <v>1573</v>
      </c>
      <c r="C17" s="19" t="n">
        <v>3187</v>
      </c>
      <c r="D17" s="21" t="n">
        <f aca="false">(C17/B17)^(1/10)-1</f>
        <v>0.0731621183898317</v>
      </c>
      <c r="E17" s="21" t="n">
        <f aca="false">(1+D17)/(1+WPI!$J$5)-1</f>
        <v>0.0413501974440098</v>
      </c>
      <c r="F17" s="21" t="n">
        <f aca="false">C17/SUM('Pharma Companies'!$M$2:$M$141)</f>
        <v>0.0168583156167618</v>
      </c>
    </row>
    <row r="18" customFormat="false" ht="15" hidden="false" customHeight="true" outlineLevel="0" collapsed="false">
      <c r="A18" s="3" t="s">
        <v>139</v>
      </c>
      <c r="B18" s="19" t="n">
        <v>934</v>
      </c>
      <c r="C18" s="19" t="n">
        <v>2843</v>
      </c>
      <c r="D18" s="21" t="n">
        <f aca="false">(C18/B18)^(1/10)-1</f>
        <v>0.117745675668636</v>
      </c>
      <c r="E18" s="21" t="n">
        <f aca="false">(1+D18)/(1+WPI!$J$5)-1</f>
        <v>0.0846121570114033</v>
      </c>
      <c r="F18" s="21" t="n">
        <f aca="false">C18/SUM('Pharma Companies'!$M$2:$M$141)</f>
        <v>0.0150386543139171</v>
      </c>
    </row>
    <row r="19" customFormat="false" ht="15" hidden="false" customHeight="true" outlineLevel="0" collapsed="false">
      <c r="A19" s="3" t="s">
        <v>140</v>
      </c>
      <c r="B19" s="19" t="n">
        <v>187</v>
      </c>
      <c r="C19" s="19" t="n">
        <v>2645</v>
      </c>
      <c r="D19" s="21" t="n">
        <f aca="false">(C19/B19)^(1/10)-1</f>
        <v>0.303342049292861</v>
      </c>
      <c r="E19" s="21" t="n">
        <f aca="false">(1+D19)/(1+WPI!$J$5)-1</f>
        <v>0.264706866847473</v>
      </c>
      <c r="F19" s="21" t="n">
        <f aca="false">C19/SUM('Pharma Companies'!$M$2:$M$141)</f>
        <v>0.0139912911221634</v>
      </c>
    </row>
    <row r="20" customFormat="false" ht="15" hidden="false" customHeight="true" outlineLevel="0" collapsed="false">
      <c r="A20" s="3" t="s">
        <v>141</v>
      </c>
      <c r="B20" s="19" t="n">
        <v>807</v>
      </c>
      <c r="C20" s="19" t="n">
        <v>2607</v>
      </c>
      <c r="D20" s="21" t="n">
        <f aca="false">(C20/B20)^(1/10)-1</f>
        <v>0.124415308266127</v>
      </c>
      <c r="E20" s="21" t="n">
        <f aca="false">(1+D20)/(1+WPI!$J$5)-1</f>
        <v>0.0910840805942983</v>
      </c>
      <c r="F20" s="21" t="n">
        <f aca="false">C20/SUM('Pharma Companies'!$M$2:$M$141)</f>
        <v>0.0137902820247562</v>
      </c>
    </row>
    <row r="21" customFormat="false" ht="15" hidden="false" customHeight="true" outlineLevel="0" collapsed="false">
      <c r="A21" s="3" t="s">
        <v>142</v>
      </c>
      <c r="B21" s="19" t="n">
        <v>339</v>
      </c>
      <c r="C21" s="19" t="n">
        <v>2427</v>
      </c>
      <c r="D21" s="21" t="n">
        <f aca="false">(C21/B21)^(1/10)-1</f>
        <v>0.217550568524705</v>
      </c>
      <c r="E21" s="21" t="n">
        <f aca="false">(1+D21)/(1+WPI!$J$5)-1</f>
        <v>0.181458517035259</v>
      </c>
      <c r="F21" s="21" t="n">
        <f aca="false">C21/SUM('Pharma Companies'!$M$2:$M$141)</f>
        <v>0.0128381336686165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</row>
    <row r="23" customFormat="false" ht="15" hidden="false" customHeight="true" outlineLevel="0" collapsed="false">
      <c r="A23" s="3" t="s">
        <v>143</v>
      </c>
      <c r="B23" s="3"/>
      <c r="C23" s="3"/>
      <c r="D23" s="3"/>
      <c r="E23" s="3"/>
      <c r="F23" s="21" t="n">
        <f aca="false">SUM(F2:F11)</f>
        <v>0.515985063331354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4"/>
    <col collapsed="false" customWidth="true" hidden="false" outlineLevel="0" max="9" min="9" style="1" width="30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17" t="s">
        <v>144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51.75" hidden="false" customHeight="true" outlineLevel="0" collapsed="false">
      <c r="A3" s="18" t="s">
        <v>68</v>
      </c>
      <c r="B3" s="18" t="s">
        <v>145</v>
      </c>
      <c r="C3" s="18" t="s">
        <v>146</v>
      </c>
      <c r="D3" s="18" t="s">
        <v>147</v>
      </c>
      <c r="E3" s="18" t="s">
        <v>148</v>
      </c>
      <c r="F3" s="18" t="s">
        <v>75</v>
      </c>
      <c r="G3" s="18" t="s">
        <v>149</v>
      </c>
      <c r="H3" s="3"/>
      <c r="I3" s="3"/>
      <c r="J3" s="3"/>
    </row>
    <row r="4" customFormat="false" ht="15" hidden="false" customHeight="true" outlineLevel="0" collapsed="false">
      <c r="A4" s="3" t="s">
        <v>150</v>
      </c>
      <c r="B4" s="3" t="s">
        <v>151</v>
      </c>
      <c r="C4" s="20" t="n">
        <v>94.22</v>
      </c>
      <c r="D4" s="20" t="n">
        <v>83.78</v>
      </c>
      <c r="E4" s="20" t="n">
        <v>88.2</v>
      </c>
      <c r="F4" s="3"/>
      <c r="G4" s="3"/>
      <c r="H4" s="3"/>
      <c r="I4" s="4" t="s">
        <v>152</v>
      </c>
      <c r="J4" s="23" t="n">
        <f aca="false">(C14/C4)^(1/10)-1</f>
        <v>0.0305487251300323</v>
      </c>
    </row>
    <row r="5" customFormat="false" ht="15" hidden="false" customHeight="true" outlineLevel="0" collapsed="false">
      <c r="A5" s="3" t="s">
        <v>153</v>
      </c>
      <c r="B5" s="3" t="s">
        <v>154</v>
      </c>
      <c r="C5" s="20" t="n">
        <v>96.46</v>
      </c>
      <c r="D5" s="20" t="n">
        <v>91.8</v>
      </c>
      <c r="E5" s="20" t="n">
        <v>93.23</v>
      </c>
      <c r="F5" s="21" t="n">
        <f aca="false">C5/C4-1</f>
        <v>0.0237741456166418</v>
      </c>
      <c r="G5" s="21" t="n">
        <f aca="false">D5/D4-1</f>
        <v>0.0957269037956552</v>
      </c>
      <c r="H5" s="3"/>
      <c r="I5" s="4" t="s">
        <v>155</v>
      </c>
      <c r="J5" s="23" t="n">
        <f aca="false">J4</f>
        <v>0.0305487251300323</v>
      </c>
    </row>
    <row r="6" customFormat="false" ht="15" hidden="false" customHeight="true" outlineLevel="0" collapsed="false">
      <c r="A6" s="3" t="s">
        <v>156</v>
      </c>
      <c r="B6" s="3" t="s">
        <v>157</v>
      </c>
      <c r="C6" s="20" t="n">
        <v>100</v>
      </c>
      <c r="D6" s="20" t="n">
        <v>100</v>
      </c>
      <c r="E6" s="20" t="n">
        <v>100</v>
      </c>
      <c r="F6" s="21" t="n">
        <f aca="false">C6/C5-1</f>
        <v>0.0366991499066971</v>
      </c>
      <c r="G6" s="21" t="n">
        <f aca="false">D6/D5-1</f>
        <v>0.0893246187363834</v>
      </c>
      <c r="H6" s="3"/>
      <c r="I6" s="4" t="s">
        <v>158</v>
      </c>
      <c r="J6" s="23" t="n">
        <f aca="false">(D14/D4)^(1/10)-1</f>
        <v>0.0381274941920187</v>
      </c>
    </row>
    <row r="7" customFormat="false" ht="15" hidden="false" customHeight="true" outlineLevel="0" collapsed="false">
      <c r="A7" s="3" t="s">
        <v>159</v>
      </c>
      <c r="B7" s="3" t="s">
        <v>160</v>
      </c>
      <c r="C7" s="20" t="n">
        <v>104.8</v>
      </c>
      <c r="D7" s="20" t="n">
        <v>106.9</v>
      </c>
      <c r="E7" s="20" t="n">
        <v>105.3</v>
      </c>
      <c r="F7" s="21" t="n">
        <f aca="false">C7/C6-1</f>
        <v>0.048</v>
      </c>
      <c r="G7" s="21" t="n">
        <f aca="false">D7/D6-1</f>
        <v>0.069</v>
      </c>
      <c r="H7" s="3"/>
      <c r="I7" s="3"/>
      <c r="J7" s="3"/>
    </row>
    <row r="8" customFormat="false" ht="15" hidden="false" customHeight="true" outlineLevel="0" collapsed="false">
      <c r="A8" s="3" t="s">
        <v>161</v>
      </c>
      <c r="B8" s="3" t="s">
        <v>162</v>
      </c>
      <c r="C8" s="20" t="n">
        <v>108.3</v>
      </c>
      <c r="D8" s="20" t="n">
        <v>112.5</v>
      </c>
      <c r="E8" s="20" t="n">
        <v>108.5</v>
      </c>
      <c r="F8" s="21" t="n">
        <f aca="false">C8/C7-1</f>
        <v>0.0333969465648856</v>
      </c>
      <c r="G8" s="21" t="n">
        <f aca="false">D8/D7-1</f>
        <v>0.0523854069223573</v>
      </c>
      <c r="H8" s="3"/>
      <c r="I8" s="3"/>
      <c r="J8" s="3"/>
    </row>
    <row r="9" customFormat="false" ht="15" hidden="false" customHeight="true" outlineLevel="0" collapsed="false">
      <c r="A9" s="3" t="s">
        <v>163</v>
      </c>
      <c r="B9" s="3" t="s">
        <v>164</v>
      </c>
      <c r="C9" s="20" t="n">
        <v>114.5</v>
      </c>
      <c r="D9" s="20" t="n">
        <v>113.9</v>
      </c>
      <c r="E9" s="20" t="n">
        <v>111.2</v>
      </c>
      <c r="F9" s="21" t="n">
        <f aca="false">C9/C8-1</f>
        <v>0.0572483841181903</v>
      </c>
      <c r="G9" s="21" t="n">
        <f aca="false">D9/D8-1</f>
        <v>0.0124444444444445</v>
      </c>
      <c r="H9" s="3"/>
      <c r="I9" s="3"/>
      <c r="J9" s="3"/>
    </row>
    <row r="10" customFormat="false" ht="15" hidden="false" customHeight="true" outlineLevel="0" collapsed="false">
      <c r="A10" s="3" t="s">
        <v>165</v>
      </c>
      <c r="B10" s="3" t="s">
        <v>166</v>
      </c>
      <c r="C10" s="20" t="n">
        <v>118.7</v>
      </c>
      <c r="D10" s="20" t="n">
        <v>109.7</v>
      </c>
      <c r="E10" s="20" t="n">
        <v>109.2</v>
      </c>
      <c r="F10" s="21" t="n">
        <f aca="false">C10/C9-1</f>
        <v>0.0366812227074236</v>
      </c>
      <c r="G10" s="21" t="n">
        <f aca="false">D10/D9-1</f>
        <v>-0.0368744512730466</v>
      </c>
      <c r="H10" s="3"/>
      <c r="I10" s="3"/>
      <c r="J10" s="3"/>
    </row>
    <row r="11" customFormat="false" ht="15" hidden="false" customHeight="true" outlineLevel="0" collapsed="false">
      <c r="A11" s="3" t="s">
        <v>167</v>
      </c>
      <c r="B11" s="3" t="s">
        <v>168</v>
      </c>
      <c r="C11" s="20" t="n">
        <v>119.7</v>
      </c>
      <c r="D11" s="20" t="n">
        <v>111.6</v>
      </c>
      <c r="E11" s="20" t="n">
        <v>110.7</v>
      </c>
      <c r="F11" s="21" t="n">
        <f aca="false">C11/C10-1</f>
        <v>0.00842459983150801</v>
      </c>
      <c r="G11" s="21" t="n">
        <f aca="false">D11/D10-1</f>
        <v>0.0173199635369188</v>
      </c>
      <c r="H11" s="3"/>
      <c r="I11" s="3"/>
      <c r="J11" s="3"/>
    </row>
    <row r="12" customFormat="false" ht="15" hidden="false" customHeight="true" outlineLevel="0" collapsed="false">
      <c r="A12" s="3" t="s">
        <v>169</v>
      </c>
      <c r="B12" s="3" t="s">
        <v>170</v>
      </c>
      <c r="C12" s="20" t="n">
        <v>121.2</v>
      </c>
      <c r="D12" s="20" t="n">
        <v>114.9</v>
      </c>
      <c r="E12" s="20" t="n">
        <v>113.8</v>
      </c>
      <c r="F12" s="21" t="n">
        <f aca="false">C12/C11-1</f>
        <v>0.0125313283208019</v>
      </c>
      <c r="G12" s="21" t="n">
        <f aca="false">D12/D11-1</f>
        <v>0.0295698924731185</v>
      </c>
      <c r="H12" s="3"/>
      <c r="I12" s="3"/>
      <c r="J12" s="3"/>
    </row>
    <row r="13" customFormat="false" ht="15" hidden="false" customHeight="true" outlineLevel="0" collapsed="false">
      <c r="A13" s="3" t="s">
        <v>171</v>
      </c>
      <c r="B13" s="3" t="s">
        <v>172</v>
      </c>
      <c r="C13" s="20" t="n">
        <v>123.5</v>
      </c>
      <c r="D13" s="20" t="n">
        <v>119.8</v>
      </c>
      <c r="E13" s="20" t="n">
        <v>117.9</v>
      </c>
      <c r="F13" s="21" t="n">
        <f aca="false">C13/C12-1</f>
        <v>0.0189768976897688</v>
      </c>
      <c r="G13" s="21" t="n">
        <f aca="false">D13/D12-1</f>
        <v>0.0426457789382071</v>
      </c>
      <c r="H13" s="3"/>
      <c r="I13" s="3"/>
      <c r="J13" s="3"/>
    </row>
    <row r="14" customFormat="false" ht="15" hidden="false" customHeight="true" outlineLevel="0" collapsed="false">
      <c r="A14" s="3" t="s">
        <v>173</v>
      </c>
      <c r="B14" s="3" t="s">
        <v>174</v>
      </c>
      <c r="C14" s="20" t="n">
        <v>127.3</v>
      </c>
      <c r="D14" s="20" t="n">
        <v>121.8</v>
      </c>
      <c r="E14" s="20" t="n">
        <v>118.3</v>
      </c>
      <c r="F14" s="21" t="n">
        <f aca="false">C14/C13-1</f>
        <v>0.0307692307692307</v>
      </c>
      <c r="G14" s="21" t="n">
        <f aca="false">D14/D13-1</f>
        <v>0.01669449081803</v>
      </c>
      <c r="H14" s="3"/>
      <c r="I14" s="3"/>
      <c r="J14" s="3"/>
    </row>
    <row r="15" customFormat="false" ht="15" hidden="false" customHeight="true" outlineLevel="0" collapsed="false">
      <c r="A15" s="3" t="s">
        <v>175</v>
      </c>
      <c r="B15" s="3" t="s">
        <v>176</v>
      </c>
      <c r="C15" s="20" t="n">
        <v>130.9</v>
      </c>
      <c r="D15" s="20" t="n">
        <v>123.4</v>
      </c>
      <c r="E15" s="20" t="n">
        <v>121.5</v>
      </c>
      <c r="F15" s="21" t="n">
        <f aca="false">C15/C14-1</f>
        <v>0.0282796543597801</v>
      </c>
      <c r="G15" s="21" t="n">
        <f aca="false">D15/D14-1</f>
        <v>0.0131362889983579</v>
      </c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 t="s">
        <v>177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 t="s">
        <v>178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 t="s">
        <v>179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 t="s">
        <v>180</v>
      </c>
      <c r="B20" s="3"/>
      <c r="C20" s="3"/>
      <c r="D20" s="3"/>
      <c r="E20" s="3"/>
      <c r="F20" s="3"/>
      <c r="G20" s="3"/>
      <c r="H20" s="3"/>
      <c r="I20" s="3"/>
      <c r="J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14" min="3" style="1" width="11"/>
    <col collapsed="false" customWidth="true" hidden="false" outlineLevel="0" max="16" min="15" style="1" width="12"/>
    <col collapsed="false" customWidth="true" hidden="false" outlineLevel="0" max="17" min="17" style="1" width="10"/>
  </cols>
  <sheetData>
    <row r="1" customFormat="false" ht="51.75" hidden="false" customHeight="true" outlineLevel="0" collapsed="false">
      <c r="A1" s="18" t="s">
        <v>119</v>
      </c>
      <c r="B1" s="18" t="s">
        <v>181</v>
      </c>
      <c r="C1" s="18" t="s">
        <v>78</v>
      </c>
      <c r="D1" s="18" t="s">
        <v>79</v>
      </c>
      <c r="E1" s="18" t="s">
        <v>80</v>
      </c>
      <c r="F1" s="18" t="s">
        <v>81</v>
      </c>
      <c r="G1" s="18" t="s">
        <v>82</v>
      </c>
      <c r="H1" s="18" t="s">
        <v>83</v>
      </c>
      <c r="I1" s="18" t="s">
        <v>56</v>
      </c>
      <c r="J1" s="18" t="s">
        <v>62</v>
      </c>
      <c r="K1" s="18" t="s">
        <v>84</v>
      </c>
      <c r="L1" s="18" t="s">
        <v>85</v>
      </c>
      <c r="M1" s="18" t="s">
        <v>59</v>
      </c>
      <c r="N1" s="18" t="s">
        <v>182</v>
      </c>
      <c r="O1" s="18" t="s">
        <v>183</v>
      </c>
      <c r="P1" s="18" t="s">
        <v>184</v>
      </c>
      <c r="Q1" s="18" t="s">
        <v>185</v>
      </c>
    </row>
    <row r="2" customFormat="false" ht="15" hidden="false" customHeight="true" outlineLevel="0" collapsed="false">
      <c r="A2" s="3" t="s">
        <v>186</v>
      </c>
      <c r="B2" s="3" t="s">
        <v>108</v>
      </c>
      <c r="C2" s="3" t="n">
        <v>485.77</v>
      </c>
      <c r="D2" s="3" t="n">
        <v>504.88</v>
      </c>
      <c r="E2" s="3" t="n">
        <v>675.6</v>
      </c>
      <c r="F2" s="3" t="n">
        <v>872.51</v>
      </c>
      <c r="G2" s="3" t="n">
        <v>1027.3</v>
      </c>
      <c r="H2" s="3" t="n">
        <v>1147.8</v>
      </c>
      <c r="I2" s="3" t="n">
        <v>1144.02</v>
      </c>
      <c r="J2" s="3" t="n">
        <v>1163.29</v>
      </c>
      <c r="K2" s="3" t="n">
        <v>1145.57</v>
      </c>
      <c r="L2" s="3" t="n">
        <v>1436.42</v>
      </c>
      <c r="M2" s="3" t="n">
        <v>1619.66</v>
      </c>
      <c r="N2" s="21" t="n">
        <f aca="false">(M2/C2)^(1/10)-1</f>
        <v>0.127974590737586</v>
      </c>
      <c r="O2" s="21" t="n">
        <f aca="false">(1+N2)/(1+WPI!$J$5)-1</f>
        <v>0.0945378546708318</v>
      </c>
      <c r="P2" s="3" t="str">
        <f aca="false">IF(O2&gt;0,"Yes","No")</f>
        <v>Yes</v>
      </c>
      <c r="Q2" s="21" t="n">
        <f aca="false">M2/L2-1</f>
        <v>0.12756714609933</v>
      </c>
    </row>
    <row r="3" customFormat="false" ht="15" hidden="false" customHeight="true" outlineLevel="0" collapsed="false">
      <c r="A3" s="3" t="s">
        <v>142</v>
      </c>
      <c r="B3" s="3" t="s">
        <v>107</v>
      </c>
      <c r="C3" s="3" t="n">
        <v>339.34</v>
      </c>
      <c r="D3" s="3" t="n">
        <v>170.5</v>
      </c>
      <c r="E3" s="3" t="n">
        <v>870.3</v>
      </c>
      <c r="F3" s="3" t="n">
        <v>960.53</v>
      </c>
      <c r="G3" s="3" t="n">
        <v>1383.91</v>
      </c>
      <c r="H3" s="3" t="n">
        <v>1335.71</v>
      </c>
      <c r="I3" s="3" t="n">
        <v>1538.86</v>
      </c>
      <c r="J3" s="3" t="n">
        <v>1688.6</v>
      </c>
      <c r="K3" s="3" t="n">
        <v>1893.11</v>
      </c>
      <c r="L3" s="3" t="n">
        <v>2097.66</v>
      </c>
      <c r="M3" s="3" t="n">
        <v>2427.26</v>
      </c>
      <c r="N3" s="21" t="n">
        <f aca="false">(M3/C3)^(1/10)-1</f>
        <v>0.217441563078913</v>
      </c>
      <c r="O3" s="21" t="n">
        <f aca="false">(1+N3)/(1+WPI!$J$5)-1</f>
        <v>0.181352742855802</v>
      </c>
      <c r="P3" s="3" t="str">
        <f aca="false">IF(O3&gt;0,"Yes","No")</f>
        <v>Yes</v>
      </c>
      <c r="Q3" s="21" t="n">
        <f aca="false">M3/L3-1</f>
        <v>0.157127465842892</v>
      </c>
    </row>
    <row r="4" customFormat="false" ht="15" hidden="false" customHeight="true" outlineLevel="0" collapsed="false">
      <c r="A4" s="3" t="s">
        <v>187</v>
      </c>
      <c r="B4" s="3" t="s">
        <v>106</v>
      </c>
      <c r="C4" s="3" t="n">
        <v>91.71</v>
      </c>
      <c r="D4" s="3" t="n">
        <v>138.45</v>
      </c>
      <c r="E4" s="3" t="n">
        <v>190.87</v>
      </c>
      <c r="F4" s="3" t="n">
        <v>265.29</v>
      </c>
      <c r="G4" s="3" t="n">
        <v>226.76</v>
      </c>
      <c r="H4" s="3" t="n">
        <v>232.03</v>
      </c>
      <c r="I4" s="3" t="n">
        <v>237.71</v>
      </c>
      <c r="J4" s="3" t="n">
        <v>221.26</v>
      </c>
      <c r="K4" s="3" t="n">
        <v>206.25</v>
      </c>
      <c r="L4" s="3" t="n">
        <v>144.52</v>
      </c>
      <c r="M4" s="3" t="n">
        <v>107.09</v>
      </c>
      <c r="N4" s="21" t="n">
        <f aca="false">(M4/C4)^(1/10)-1</f>
        <v>0.0156246254865504</v>
      </c>
      <c r="O4" s="21" t="n">
        <f aca="false">(1+N4)/(1+WPI!$J$5)-1</f>
        <v>-0.0144817021064179</v>
      </c>
      <c r="P4" s="3" t="str">
        <f aca="false">IF(O4&gt;0,"Yes","No")</f>
        <v>No</v>
      </c>
      <c r="Q4" s="21" t="n">
        <f aca="false">M4/L4-1</f>
        <v>-0.25899529476889</v>
      </c>
    </row>
    <row r="5" customFormat="false" ht="15" hidden="false" customHeight="true" outlineLevel="0" collapsed="false">
      <c r="A5" s="3" t="s">
        <v>188</v>
      </c>
      <c r="B5" s="3" t="s">
        <v>105</v>
      </c>
      <c r="C5" s="3" t="n">
        <v>27.62</v>
      </c>
      <c r="D5" s="3" t="n">
        <v>25.39</v>
      </c>
      <c r="E5" s="3" t="n">
        <v>36.44</v>
      </c>
      <c r="F5" s="3" t="n">
        <v>53.59</v>
      </c>
      <c r="G5" s="3" t="n">
        <v>58.17</v>
      </c>
      <c r="H5" s="3" t="n">
        <v>61.76</v>
      </c>
      <c r="I5" s="3" t="n">
        <v>64.5</v>
      </c>
      <c r="J5" s="3" t="n">
        <v>70.58</v>
      </c>
      <c r="K5" s="3" t="n">
        <v>65.12</v>
      </c>
      <c r="L5" s="3" t="n">
        <v>50.45</v>
      </c>
      <c r="M5" s="3" t="n">
        <v>69.6</v>
      </c>
      <c r="N5" s="21" t="n">
        <f aca="false">(M5/C5)^(1/10)-1</f>
        <v>0.0968280703996036</v>
      </c>
      <c r="O5" s="21" t="n">
        <f aca="false">(1+N5)/(1+WPI!$J$5)-1</f>
        <v>0.0643146157511461</v>
      </c>
      <c r="P5" s="3" t="str">
        <f aca="false">IF(O5&gt;0,"Yes","No")</f>
        <v>Yes</v>
      </c>
      <c r="Q5" s="21" t="n">
        <f aca="false">M5/L5-1</f>
        <v>0.379583746283449</v>
      </c>
    </row>
    <row r="6" customFormat="false" ht="15" hidden="false" customHeight="true" outlineLevel="0" collapsed="false">
      <c r="A6" s="3" t="s">
        <v>189</v>
      </c>
      <c r="B6" s="3" t="s">
        <v>106</v>
      </c>
      <c r="C6" s="3" t="n">
        <v>91.3</v>
      </c>
      <c r="D6" s="3" t="n">
        <v>97.53</v>
      </c>
      <c r="E6" s="3" t="n">
        <v>117.67</v>
      </c>
      <c r="F6" s="3" t="n">
        <v>185.83</v>
      </c>
      <c r="G6" s="3" t="n">
        <v>243.75</v>
      </c>
      <c r="H6" s="3" t="n">
        <v>281.62</v>
      </c>
      <c r="I6" s="3" t="n">
        <v>221.09</v>
      </c>
      <c r="J6" s="3" t="n">
        <v>188.87</v>
      </c>
      <c r="K6" s="3" t="n">
        <v>136.38</v>
      </c>
      <c r="L6" s="3" t="n">
        <v>168.1</v>
      </c>
      <c r="M6" s="3" t="n">
        <v>183.88</v>
      </c>
      <c r="N6" s="21" t="n">
        <f aca="false">(M6/C6)^(1/10)-1</f>
        <v>0.0725224010198557</v>
      </c>
      <c r="O6" s="21" t="n">
        <f aca="false">(1+N6)/(1+WPI!$J$5)-1</f>
        <v>0.0407294433211078</v>
      </c>
      <c r="P6" s="3" t="str">
        <f aca="false">IF(O6&gt;0,"Yes","No")</f>
        <v>Yes</v>
      </c>
      <c r="Q6" s="21" t="n">
        <f aca="false">M6/L6-1</f>
        <v>0.0938726948245092</v>
      </c>
    </row>
    <row r="7" customFormat="false" ht="15" hidden="false" customHeight="true" outlineLevel="0" collapsed="false">
      <c r="A7" s="3" t="s">
        <v>190</v>
      </c>
      <c r="B7" s="3" t="s">
        <v>105</v>
      </c>
      <c r="C7" s="3" t="n">
        <v>31.53</v>
      </c>
      <c r="D7" s="3" t="n">
        <v>38.81</v>
      </c>
      <c r="E7" s="3" t="n">
        <v>55.1</v>
      </c>
      <c r="F7" s="3" t="n">
        <v>81.36</v>
      </c>
      <c r="G7" s="3" t="n">
        <v>95.23</v>
      </c>
      <c r="H7" s="3" t="n">
        <v>126.69</v>
      </c>
      <c r="I7" s="3" t="n">
        <v>133.22</v>
      </c>
      <c r="J7" s="3" t="n">
        <v>149.27</v>
      </c>
      <c r="K7" s="3" t="n">
        <v>150.7</v>
      </c>
      <c r="L7" s="3" t="n">
        <v>125.41</v>
      </c>
      <c r="M7" s="3" t="n">
        <v>149.83</v>
      </c>
      <c r="N7" s="21" t="n">
        <f aca="false">(M7/C7)^(1/10)-1</f>
        <v>0.168658119793179</v>
      </c>
      <c r="O7" s="21" t="n">
        <f aca="false">(1+N7)/(1+WPI!$J$5)-1</f>
        <v>0.134015395192227</v>
      </c>
      <c r="P7" s="3" t="str">
        <f aca="false">IF(O7&gt;0,"Yes","No")</f>
        <v>Yes</v>
      </c>
      <c r="Q7" s="21" t="n">
        <f aca="false">M7/L7-1</f>
        <v>0.194721314089786</v>
      </c>
    </row>
    <row r="8" customFormat="false" ht="15" hidden="false" customHeight="true" outlineLevel="0" collapsed="false">
      <c r="A8" s="3" t="s">
        <v>191</v>
      </c>
      <c r="B8" s="3" t="s">
        <v>106</v>
      </c>
      <c r="C8" s="3" t="n">
        <v>71.1</v>
      </c>
      <c r="D8" s="3" t="n">
        <v>72.39</v>
      </c>
      <c r="E8" s="3" t="n">
        <v>90.8</v>
      </c>
      <c r="F8" s="3" t="n">
        <v>103.4</v>
      </c>
      <c r="G8" s="3" t="n">
        <v>136.25</v>
      </c>
      <c r="H8" s="3" t="n">
        <v>155.69</v>
      </c>
      <c r="I8" s="3" t="n">
        <v>189.29</v>
      </c>
      <c r="J8" s="3" t="n">
        <v>280.23</v>
      </c>
      <c r="K8" s="3" t="n">
        <v>282.01</v>
      </c>
      <c r="L8" s="3" t="n">
        <v>304.58</v>
      </c>
      <c r="M8" s="3" t="n">
        <v>291.76</v>
      </c>
      <c r="N8" s="21" t="n">
        <f aca="false">(M8/C8)^(1/10)-1</f>
        <v>0.151637014416007</v>
      </c>
      <c r="O8" s="21" t="n">
        <f aca="false">(1+N8)/(1+WPI!$J$5)-1</f>
        <v>0.117498849237523</v>
      </c>
      <c r="P8" s="3" t="str">
        <f aca="false">IF(O8&gt;0,"Yes","No")</f>
        <v>Yes</v>
      </c>
      <c r="Q8" s="21" t="n">
        <f aca="false">M8/L8-1</f>
        <v>-0.0420907479151619</v>
      </c>
    </row>
    <row r="9" customFormat="false" ht="15" hidden="false" customHeight="true" outlineLevel="0" collapsed="false">
      <c r="A9" s="3" t="s">
        <v>192</v>
      </c>
      <c r="B9" s="3" t="s">
        <v>107</v>
      </c>
      <c r="C9" s="3" t="n">
        <v>385</v>
      </c>
      <c r="D9" s="3" t="n">
        <v>393.63</v>
      </c>
      <c r="E9" s="3" t="n">
        <v>541.56</v>
      </c>
      <c r="F9" s="3" t="n">
        <v>772.47</v>
      </c>
      <c r="G9" s="3" t="n">
        <v>1002.1</v>
      </c>
      <c r="H9" s="3" t="n">
        <v>1209.37</v>
      </c>
      <c r="I9" s="3" t="n">
        <v>1395.34</v>
      </c>
      <c r="J9" s="3" t="n">
        <v>1571.11</v>
      </c>
      <c r="K9" s="3" t="n">
        <v>1561.77</v>
      </c>
      <c r="L9" s="3" t="n">
        <v>1493.94</v>
      </c>
      <c r="M9" s="3" t="n">
        <v>1892.25</v>
      </c>
      <c r="N9" s="21" t="n">
        <f aca="false">(M9/C9)^(1/10)-1</f>
        <v>0.172605099228898</v>
      </c>
      <c r="O9" s="21" t="n">
        <f aca="false">(1+N9)/(1+WPI!$J$5)-1</f>
        <v>0.137845373668228</v>
      </c>
      <c r="P9" s="3" t="str">
        <f aca="false">IF(O9&gt;0,"Yes","No")</f>
        <v>Yes</v>
      </c>
      <c r="Q9" s="21" t="n">
        <f aca="false">M9/L9-1</f>
        <v>0.266617133218201</v>
      </c>
    </row>
    <row r="10" customFormat="false" ht="15" hidden="false" customHeight="true" outlineLevel="0" collapsed="false">
      <c r="A10" s="3" t="s">
        <v>193</v>
      </c>
      <c r="B10" s="3" t="s">
        <v>107</v>
      </c>
      <c r="C10" s="3" t="n">
        <v>410.93</v>
      </c>
      <c r="D10" s="3" t="n">
        <v>570.95</v>
      </c>
      <c r="E10" s="3" t="n">
        <v>646.88</v>
      </c>
      <c r="F10" s="3" t="n">
        <v>789.28</v>
      </c>
      <c r="G10" s="3" t="n">
        <v>888.46</v>
      </c>
      <c r="H10" s="3" t="n">
        <v>929.66</v>
      </c>
      <c r="I10" s="3" t="n">
        <v>547.72</v>
      </c>
      <c r="J10" s="3" t="n">
        <v>610.42</v>
      </c>
      <c r="K10" s="3" t="n">
        <v>567.29</v>
      </c>
      <c r="L10" s="3" t="n">
        <v>685.5</v>
      </c>
      <c r="M10" s="3" t="n">
        <v>736.91</v>
      </c>
      <c r="N10" s="21" t="n">
        <f aca="false">(M10/C10)^(1/10)-1</f>
        <v>0.0601435128443124</v>
      </c>
      <c r="O10" s="21" t="n">
        <f aca="false">(1+N10)/(1+WPI!$J$5)-1</f>
        <v>0.0287175045610248</v>
      </c>
      <c r="P10" s="3" t="str">
        <f aca="false">IF(O10&gt;0,"Yes","No")</f>
        <v>Yes</v>
      </c>
      <c r="Q10" s="21" t="n">
        <f aca="false">M10/L10-1</f>
        <v>0.0749963530269875</v>
      </c>
    </row>
    <row r="11" customFormat="false" ht="15" hidden="false" customHeight="true" outlineLevel="0" collapsed="false">
      <c r="A11" s="3" t="s">
        <v>130</v>
      </c>
      <c r="B11" s="3" t="s">
        <v>108</v>
      </c>
      <c r="C11" s="3" t="n">
        <v>992.98</v>
      </c>
      <c r="D11" s="3" t="n">
        <v>1668.78</v>
      </c>
      <c r="E11" s="3" t="n">
        <v>1973.52</v>
      </c>
      <c r="F11" s="3" t="n">
        <v>2335.29</v>
      </c>
      <c r="G11" s="3" t="n">
        <v>2700.19</v>
      </c>
      <c r="H11" s="3" t="n">
        <v>3174.29</v>
      </c>
      <c r="I11" s="3" t="n">
        <v>3897.1</v>
      </c>
      <c r="J11" s="3" t="n">
        <v>4603.04</v>
      </c>
      <c r="K11" s="3" t="n">
        <v>5196.7</v>
      </c>
      <c r="L11" s="3" t="n">
        <v>5759.9</v>
      </c>
      <c r="M11" s="3" t="n">
        <v>6719.33</v>
      </c>
      <c r="N11" s="21" t="n">
        <f aca="false">(M11/C11)^(1/10)-1</f>
        <v>0.210705588119165</v>
      </c>
      <c r="O11" s="21" t="n">
        <f aca="false">(1+N11)/(1+WPI!$J$5)-1</f>
        <v>0.174816443508191</v>
      </c>
      <c r="P11" s="3" t="str">
        <f aca="false">IF(O11&gt;0,"Yes","No")</f>
        <v>Yes</v>
      </c>
      <c r="Q11" s="21" t="n">
        <f aca="false">M11/L11-1</f>
        <v>0.166570600184031</v>
      </c>
    </row>
    <row r="12" customFormat="false" ht="15" hidden="false" customHeight="true" outlineLevel="0" collapsed="false">
      <c r="A12" s="3" t="s">
        <v>194</v>
      </c>
      <c r="B12" s="3" t="s">
        <v>106</v>
      </c>
      <c r="C12" s="3" t="n">
        <v>91.72</v>
      </c>
      <c r="D12" s="3" t="n">
        <v>81.28</v>
      </c>
      <c r="E12" s="3" t="n">
        <v>51.3</v>
      </c>
      <c r="F12" s="3" t="n">
        <v>54.28</v>
      </c>
      <c r="G12" s="3" t="n">
        <v>51.67</v>
      </c>
      <c r="H12" s="3" t="n">
        <v>56.33</v>
      </c>
      <c r="I12" s="3" t="n">
        <v>54.59</v>
      </c>
      <c r="J12" s="3" t="n">
        <v>61.32</v>
      </c>
      <c r="K12" s="3" t="n">
        <v>60.99</v>
      </c>
      <c r="L12" s="3" t="n">
        <v>75.9</v>
      </c>
      <c r="M12" s="3" t="n">
        <v>84.73</v>
      </c>
      <c r="N12" s="21" t="n">
        <f aca="false">(M12/C12)^(1/10)-1</f>
        <v>-0.00789573639312324</v>
      </c>
      <c r="O12" s="21" t="n">
        <f aca="false">(1+N12)/(1+WPI!$J$5)-1</f>
        <v>-0.0373048460355959</v>
      </c>
      <c r="P12" s="3" t="str">
        <f aca="false">IF(O12&gt;0,"Yes","No")</f>
        <v>No</v>
      </c>
      <c r="Q12" s="21" t="n">
        <f aca="false">M12/L12-1</f>
        <v>0.116337285902503</v>
      </c>
    </row>
    <row r="13" customFormat="false" ht="15" hidden="false" customHeight="true" outlineLevel="0" collapsed="false">
      <c r="A13" s="3" t="s">
        <v>195</v>
      </c>
      <c r="B13" s="3" t="s">
        <v>106</v>
      </c>
      <c r="C13" s="3" t="n">
        <v>47.32</v>
      </c>
      <c r="D13" s="3" t="n">
        <v>56.42</v>
      </c>
      <c r="E13" s="3" t="n">
        <v>64.94</v>
      </c>
      <c r="F13" s="3" t="n">
        <v>75.55</v>
      </c>
      <c r="G13" s="3" t="n">
        <v>92.05</v>
      </c>
      <c r="H13" s="3" t="n">
        <v>105.25</v>
      </c>
      <c r="I13" s="3" t="n">
        <v>114.77</v>
      </c>
      <c r="J13" s="3" t="n">
        <v>124.06</v>
      </c>
      <c r="K13" s="3" t="n">
        <v>122.7</v>
      </c>
      <c r="L13" s="3" t="n">
        <v>169.76</v>
      </c>
      <c r="M13" s="3" t="n">
        <v>176.82</v>
      </c>
      <c r="N13" s="21" t="n">
        <f aca="false">(M13/C13)^(1/10)-1</f>
        <v>0.140902850047699</v>
      </c>
      <c r="O13" s="21" t="n">
        <f aca="false">(1+N13)/(1+WPI!$J$5)-1</f>
        <v>0.107082879466706</v>
      </c>
      <c r="P13" s="3" t="str">
        <f aca="false">IF(O13&gt;0,"Yes","No")</f>
        <v>Yes</v>
      </c>
      <c r="Q13" s="21" t="n">
        <f aca="false">M13/L13-1</f>
        <v>0.0415881244109331</v>
      </c>
    </row>
    <row r="14" customFormat="false" ht="15" hidden="false" customHeight="true" outlineLevel="0" collapsed="false">
      <c r="A14" s="3" t="s">
        <v>196</v>
      </c>
      <c r="B14" s="3" t="s">
        <v>106</v>
      </c>
      <c r="C14" s="3" t="n">
        <v>51.43</v>
      </c>
      <c r="D14" s="3" t="n">
        <v>78.23</v>
      </c>
      <c r="E14" s="3" t="n">
        <v>80.56</v>
      </c>
      <c r="F14" s="3" t="n">
        <v>119.97</v>
      </c>
      <c r="G14" s="3" t="n">
        <v>111.61</v>
      </c>
      <c r="H14" s="3" t="n">
        <v>166.69</v>
      </c>
      <c r="I14" s="3" t="n">
        <v>157.27</v>
      </c>
      <c r="J14" s="3" t="n">
        <v>239.6</v>
      </c>
      <c r="K14" s="3" t="n">
        <v>244.33</v>
      </c>
      <c r="L14" s="3" t="n">
        <v>314.47</v>
      </c>
      <c r="M14" s="3" t="n">
        <v>387.06</v>
      </c>
      <c r="N14" s="21" t="n">
        <f aca="false">(M14/C14)^(1/10)-1</f>
        <v>0.223647076106092</v>
      </c>
      <c r="O14" s="21" t="n">
        <f aca="false">(1+N14)/(1+WPI!$J$5)-1</f>
        <v>0.187374304841039</v>
      </c>
      <c r="P14" s="3" t="str">
        <f aca="false">IF(O14&gt;0,"Yes","No")</f>
        <v>Yes</v>
      </c>
      <c r="Q14" s="21" t="n">
        <f aca="false">M14/L14-1</f>
        <v>0.230832829840684</v>
      </c>
    </row>
    <row r="15" customFormat="false" ht="15" hidden="false" customHeight="true" outlineLevel="0" collapsed="false">
      <c r="A15" s="3" t="s">
        <v>197</v>
      </c>
      <c r="B15" s="3" t="s">
        <v>106</v>
      </c>
      <c r="C15" s="3" t="n">
        <v>93.74</v>
      </c>
      <c r="D15" s="3" t="n">
        <v>107.75</v>
      </c>
      <c r="E15" s="3" t="n">
        <v>140.16</v>
      </c>
      <c r="F15" s="3" t="n">
        <v>141.1</v>
      </c>
      <c r="G15" s="3" t="n">
        <v>144.41</v>
      </c>
      <c r="H15" s="3" t="n">
        <v>170.62</v>
      </c>
      <c r="I15" s="3" t="n">
        <v>191.92</v>
      </c>
      <c r="J15" s="3" t="n">
        <v>213.85</v>
      </c>
      <c r="K15" s="3" t="n">
        <v>217.28</v>
      </c>
      <c r="L15" s="3" t="n">
        <v>250.23</v>
      </c>
      <c r="M15" s="3" t="n">
        <v>258.32</v>
      </c>
      <c r="N15" s="21" t="n">
        <f aca="false">(M15/C15)^(1/10)-1</f>
        <v>0.106683177299515</v>
      </c>
      <c r="O15" s="21" t="n">
        <f aca="false">(1+N15)/(1+WPI!$J$5)-1</f>
        <v>0.0738775860984895</v>
      </c>
      <c r="P15" s="3" t="str">
        <f aca="false">IF(O15&gt;0,"Yes","No")</f>
        <v>Yes</v>
      </c>
      <c r="Q15" s="21" t="n">
        <f aca="false">M15/L15-1</f>
        <v>0.0323302561643288</v>
      </c>
    </row>
    <row r="16" customFormat="false" ht="15" hidden="false" customHeight="true" outlineLevel="0" collapsed="false">
      <c r="A16" s="3" t="s">
        <v>198</v>
      </c>
      <c r="B16" s="3" t="s">
        <v>105</v>
      </c>
      <c r="C16" s="3" t="n">
        <v>2.42</v>
      </c>
      <c r="D16" s="3" t="n">
        <v>3.5</v>
      </c>
      <c r="E16" s="3" t="n">
        <v>4.91</v>
      </c>
      <c r="F16" s="3" t="n">
        <v>4.18</v>
      </c>
      <c r="G16" s="3" t="n">
        <v>6.64</v>
      </c>
      <c r="H16" s="3" t="n">
        <v>6.93</v>
      </c>
      <c r="I16" s="3" t="n">
        <v>6.44</v>
      </c>
      <c r="J16" s="3" t="n">
        <v>5.37</v>
      </c>
      <c r="K16" s="3" t="n">
        <v>6.14</v>
      </c>
      <c r="L16" s="3" t="n">
        <v>9.45</v>
      </c>
      <c r="M16" s="3" t="n">
        <v>7.86</v>
      </c>
      <c r="N16" s="21" t="n">
        <f aca="false">(M16/C16)^(1/10)-1</f>
        <v>0.125021230042542</v>
      </c>
      <c r="O16" s="21" t="n">
        <f aca="false">(1+N16)/(1+WPI!$J$5)-1</f>
        <v>0.09167204093197</v>
      </c>
      <c r="P16" s="3" t="str">
        <f aca="false">IF(O16&gt;0,"Yes","No")</f>
        <v>Yes</v>
      </c>
      <c r="Q16" s="21" t="n">
        <f aca="false">M16/L16-1</f>
        <v>-0.168253968253968</v>
      </c>
    </row>
    <row r="17" customFormat="false" ht="15" hidden="false" customHeight="true" outlineLevel="0" collapsed="false">
      <c r="A17" s="3" t="s">
        <v>199</v>
      </c>
      <c r="B17" s="3" t="s">
        <v>107</v>
      </c>
      <c r="C17" s="3" t="n">
        <v>166.75</v>
      </c>
      <c r="D17" s="3" t="n">
        <v>180.94</v>
      </c>
      <c r="E17" s="3" t="n">
        <v>235.84</v>
      </c>
      <c r="F17" s="3" t="n">
        <v>258.87</v>
      </c>
      <c r="G17" s="3" t="n">
        <v>282.77</v>
      </c>
      <c r="H17" s="3" t="n">
        <v>298.1</v>
      </c>
      <c r="I17" s="3" t="n">
        <v>336.13</v>
      </c>
      <c r="J17" s="3" t="n">
        <v>214.16</v>
      </c>
      <c r="K17" s="3" t="n">
        <v>238.52</v>
      </c>
      <c r="L17" s="3" t="n">
        <v>316.13</v>
      </c>
      <c r="M17" s="3" t="n">
        <v>302.73</v>
      </c>
      <c r="N17" s="21" t="n">
        <f aca="false">(M17/C17)^(1/10)-1</f>
        <v>0.0614485835373246</v>
      </c>
      <c r="O17" s="21" t="n">
        <f aca="false">(1+N17)/(1+WPI!$J$5)-1</f>
        <v>0.0299838888291222</v>
      </c>
      <c r="P17" s="3" t="str">
        <f aca="false">IF(O17&gt;0,"Yes","No")</f>
        <v>Yes</v>
      </c>
      <c r="Q17" s="21" t="n">
        <f aca="false">M17/L17-1</f>
        <v>-0.042387625344004</v>
      </c>
    </row>
    <row r="18" customFormat="false" ht="15" hidden="false" customHeight="true" outlineLevel="0" collapsed="false">
      <c r="A18" s="3" t="s">
        <v>200</v>
      </c>
      <c r="B18" s="3" t="s">
        <v>108</v>
      </c>
      <c r="C18" s="3" t="n">
        <v>1051.98</v>
      </c>
      <c r="D18" s="3" t="n">
        <v>1314.84</v>
      </c>
      <c r="E18" s="3" t="n">
        <v>1510.7</v>
      </c>
      <c r="F18" s="3" t="n">
        <v>1903.52</v>
      </c>
      <c r="G18" s="3" t="n">
        <v>475.54</v>
      </c>
      <c r="H18" s="3" t="n">
        <v>164.61</v>
      </c>
      <c r="I18" s="3" t="n">
        <v>128.36</v>
      </c>
      <c r="J18" s="3" t="n">
        <v>112.23</v>
      </c>
      <c r="K18" s="3" t="n">
        <v>247.19</v>
      </c>
      <c r="L18" s="3" t="n">
        <v>476.57</v>
      </c>
      <c r="M18" s="3" t="n">
        <v>632.29</v>
      </c>
      <c r="N18" s="21" t="n">
        <f aca="false">(M18/C18)^(1/10)-1</f>
        <v>-0.0496340168978533</v>
      </c>
      <c r="O18" s="21" t="n">
        <f aca="false">(1+N18)/(1+WPI!$J$5)-1</f>
        <v>-0.077805871835675</v>
      </c>
      <c r="P18" s="3" t="str">
        <f aca="false">IF(O18&gt;0,"Yes","No")</f>
        <v>No</v>
      </c>
      <c r="Q18" s="21" t="n">
        <f aca="false">M18/L18-1</f>
        <v>0.326751578991544</v>
      </c>
    </row>
    <row r="19" customFormat="false" ht="15" hidden="false" customHeight="true" outlineLevel="0" collapsed="false">
      <c r="A19" s="3" t="s">
        <v>201</v>
      </c>
      <c r="B19" s="3" t="s">
        <v>106</v>
      </c>
      <c r="C19" s="3" t="n">
        <v>34.99</v>
      </c>
      <c r="D19" s="3" t="n">
        <v>37.23</v>
      </c>
      <c r="E19" s="3" t="n">
        <v>42.99</v>
      </c>
      <c r="F19" s="3" t="n">
        <v>47.3</v>
      </c>
      <c r="G19" s="3" t="n">
        <v>51.54</v>
      </c>
      <c r="H19" s="3" t="n">
        <v>54.91</v>
      </c>
      <c r="I19" s="3" t="n">
        <v>57.79</v>
      </c>
      <c r="J19" s="3" t="n">
        <v>61.44</v>
      </c>
      <c r="K19" s="3" t="n">
        <v>65.47</v>
      </c>
      <c r="L19" s="3" t="n">
        <v>67.03</v>
      </c>
      <c r="M19" s="3" t="n">
        <v>69.56</v>
      </c>
      <c r="N19" s="21" t="n">
        <f aca="false">(M19/C19)^(1/10)-1</f>
        <v>0.0711284707757125</v>
      </c>
      <c r="O19" s="21" t="n">
        <f aca="false">(1+N19)/(1+WPI!$J$5)-1</f>
        <v>0.0393768335801492</v>
      </c>
      <c r="P19" s="3" t="str">
        <f aca="false">IF(O19&gt;0,"Yes","No")</f>
        <v>Yes</v>
      </c>
      <c r="Q19" s="21" t="n">
        <f aca="false">M19/L19-1</f>
        <v>0.0377442935998806</v>
      </c>
    </row>
    <row r="20" customFormat="false" ht="15" hidden="false" customHeight="true" outlineLevel="0" collapsed="false">
      <c r="A20" s="3" t="s">
        <v>202</v>
      </c>
      <c r="B20" s="3" t="s">
        <v>107</v>
      </c>
      <c r="C20" s="3" t="n">
        <v>206.55</v>
      </c>
      <c r="D20" s="3" t="n">
        <v>216.65</v>
      </c>
      <c r="E20" s="3" t="n">
        <v>210.21</v>
      </c>
      <c r="F20" s="3" t="n">
        <v>217.63</v>
      </c>
      <c r="G20" s="3" t="n">
        <v>256.77</v>
      </c>
      <c r="H20" s="3" t="n">
        <v>209.29</v>
      </c>
      <c r="I20" s="3" t="n">
        <v>128.94</v>
      </c>
      <c r="J20" s="3" t="n">
        <v>122</v>
      </c>
      <c r="K20" s="3" t="n">
        <v>157.62</v>
      </c>
      <c r="L20" s="3" t="n">
        <v>230.71</v>
      </c>
      <c r="M20" s="3" t="n">
        <v>188.96</v>
      </c>
      <c r="N20" s="21" t="n">
        <f aca="false">(M20/C20)^(1/10)-1</f>
        <v>-0.00886122202762829</v>
      </c>
      <c r="O20" s="21" t="n">
        <f aca="false">(1+N20)/(1+WPI!$J$5)-1</f>
        <v>-0.0382417116208531</v>
      </c>
      <c r="P20" s="3" t="str">
        <f aca="false">IF(O20&gt;0,"Yes","No")</f>
        <v>No</v>
      </c>
      <c r="Q20" s="21" t="n">
        <f aca="false">M20/L20-1</f>
        <v>-0.180963113865892</v>
      </c>
    </row>
    <row r="21" customFormat="false" ht="15" hidden="false" customHeight="true" outlineLevel="0" collapsed="false">
      <c r="A21" s="3" t="s">
        <v>203</v>
      </c>
      <c r="B21" s="3" t="s">
        <v>107</v>
      </c>
      <c r="C21" s="3" t="n">
        <v>116.35</v>
      </c>
      <c r="D21" s="3" t="n">
        <v>115.07</v>
      </c>
      <c r="E21" s="3" t="n">
        <v>116.77</v>
      </c>
      <c r="F21" s="3" t="n">
        <v>184.83</v>
      </c>
      <c r="G21" s="3" t="n">
        <v>201.88</v>
      </c>
      <c r="H21" s="3" t="n">
        <v>267.02</v>
      </c>
      <c r="I21" s="3" t="n">
        <v>221.9</v>
      </c>
      <c r="J21" s="3" t="n">
        <v>303.01</v>
      </c>
      <c r="K21" s="3" t="n">
        <v>359.8</v>
      </c>
      <c r="L21" s="3" t="n">
        <v>430.9</v>
      </c>
      <c r="M21" s="3" t="n">
        <v>522.22</v>
      </c>
      <c r="N21" s="21" t="n">
        <f aca="false">(M21/C21)^(1/10)-1</f>
        <v>0.162006911711388</v>
      </c>
      <c r="O21" s="21" t="n">
        <f aca="false">(1+N21)/(1+WPI!$J$5)-1</f>
        <v>0.127561349964087</v>
      </c>
      <c r="P21" s="3" t="str">
        <f aca="false">IF(O21&gt;0,"Yes","No")</f>
        <v>Yes</v>
      </c>
      <c r="Q21" s="21" t="n">
        <f aca="false">M21/L21-1</f>
        <v>0.21192852169877</v>
      </c>
    </row>
    <row r="22" customFormat="false" ht="15" hidden="false" customHeight="true" outlineLevel="0" collapsed="false">
      <c r="A22" s="3" t="s">
        <v>204</v>
      </c>
      <c r="B22" s="3" t="s">
        <v>107</v>
      </c>
      <c r="C22" s="3" t="n">
        <v>254.41</v>
      </c>
      <c r="D22" s="3" t="n">
        <v>380.4</v>
      </c>
      <c r="E22" s="3" t="n">
        <v>341.7</v>
      </c>
      <c r="F22" s="3" t="n">
        <v>165.94</v>
      </c>
      <c r="G22" s="3" t="n">
        <v>212.71</v>
      </c>
      <c r="H22" s="3" t="n">
        <v>154.07</v>
      </c>
      <c r="I22" s="3" t="n">
        <v>120.96</v>
      </c>
      <c r="J22" s="3" t="n">
        <v>98.37</v>
      </c>
      <c r="K22" s="3" t="n">
        <v>87.38</v>
      </c>
      <c r="L22" s="3" t="n">
        <v>253.95</v>
      </c>
      <c r="M22" s="3" t="n">
        <v>302.74</v>
      </c>
      <c r="N22" s="21" t="n">
        <f aca="false">(M22/C22)^(1/10)-1</f>
        <v>0.0175448553515045</v>
      </c>
      <c r="O22" s="21" t="n">
        <f aca="false">(1+N22)/(1+WPI!$J$5)-1</f>
        <v>-0.0126183939307547</v>
      </c>
      <c r="P22" s="3" t="str">
        <f aca="false">IF(O22&gt;0,"Yes","No")</f>
        <v>No</v>
      </c>
      <c r="Q22" s="21" t="n">
        <f aca="false">M22/L22-1</f>
        <v>0.19212443394369</v>
      </c>
    </row>
    <row r="23" customFormat="false" ht="15" hidden="false" customHeight="true" outlineLevel="0" collapsed="false">
      <c r="A23" s="3" t="s">
        <v>205</v>
      </c>
      <c r="B23" s="3" t="s">
        <v>105</v>
      </c>
      <c r="C23" s="3" t="n">
        <v>11.58</v>
      </c>
      <c r="D23" s="3" t="n">
        <v>21.26</v>
      </c>
      <c r="E23" s="3" t="n">
        <v>25.72</v>
      </c>
      <c r="F23" s="3" t="n">
        <v>46.72</v>
      </c>
      <c r="G23" s="3" t="n">
        <v>35.7</v>
      </c>
      <c r="H23" s="3" t="n">
        <v>33.83</v>
      </c>
      <c r="I23" s="3" t="n">
        <v>29.05</v>
      </c>
      <c r="J23" s="3" t="n">
        <v>35.86</v>
      </c>
      <c r="K23" s="3" t="n">
        <v>40.03</v>
      </c>
      <c r="L23" s="3" t="n">
        <v>45.55</v>
      </c>
      <c r="M23" s="3" t="n">
        <v>42.88</v>
      </c>
      <c r="N23" s="21" t="n">
        <f aca="false">(M23/C23)^(1/10)-1</f>
        <v>0.139868157567576</v>
      </c>
      <c r="O23" s="21" t="n">
        <f aca="false">(1+N23)/(1+WPI!$J$5)-1</f>
        <v>0.106078858545723</v>
      </c>
      <c r="P23" s="3" t="str">
        <f aca="false">IF(O23&gt;0,"Yes","No")</f>
        <v>Yes</v>
      </c>
      <c r="Q23" s="21" t="n">
        <f aca="false">M23/L23-1</f>
        <v>-0.0586169045005487</v>
      </c>
    </row>
    <row r="24" customFormat="false" ht="15" hidden="false" customHeight="true" outlineLevel="0" collapsed="false">
      <c r="A24" s="3" t="s">
        <v>124</v>
      </c>
      <c r="B24" s="3" t="s">
        <v>108</v>
      </c>
      <c r="C24" s="3" t="n">
        <v>3130.11</v>
      </c>
      <c r="D24" s="3" t="n">
        <v>3937.16</v>
      </c>
      <c r="E24" s="3" t="n">
        <v>4214.44</v>
      </c>
      <c r="F24" s="3" t="n">
        <v>5394.27</v>
      </c>
      <c r="G24" s="3" t="n">
        <v>7092.05</v>
      </c>
      <c r="H24" s="3" t="n">
        <v>8144.4</v>
      </c>
      <c r="I24" s="3" t="n">
        <v>9070.71</v>
      </c>
      <c r="J24" s="3" t="n">
        <v>9532.19</v>
      </c>
      <c r="K24" s="3" t="n">
        <v>10038.22</v>
      </c>
      <c r="L24" s="3" t="n">
        <v>11922.63</v>
      </c>
      <c r="M24" s="3" t="n">
        <v>13021.94</v>
      </c>
      <c r="N24" s="21" t="n">
        <f aca="false">(M24/C24)^(1/10)-1</f>
        <v>0.153218521888981</v>
      </c>
      <c r="O24" s="21" t="n">
        <f aca="false">(1+N24)/(1+WPI!$J$5)-1</f>
        <v>0.119033475824707</v>
      </c>
      <c r="P24" s="3" t="str">
        <f aca="false">IF(O24&gt;0,"Yes","No")</f>
        <v>Yes</v>
      </c>
      <c r="Q24" s="21" t="n">
        <f aca="false">M24/L24-1</f>
        <v>0.0922036496980954</v>
      </c>
    </row>
    <row r="25" customFormat="false" ht="15" hidden="false" customHeight="true" outlineLevel="0" collapsed="false">
      <c r="A25" s="3" t="s">
        <v>206</v>
      </c>
      <c r="B25" s="3" t="s">
        <v>105</v>
      </c>
      <c r="C25" s="3" t="n">
        <v>31.61</v>
      </c>
      <c r="D25" s="3" t="n">
        <v>35.51</v>
      </c>
      <c r="E25" s="3" t="n">
        <v>38.94</v>
      </c>
      <c r="F25" s="3" t="n">
        <v>50.03</v>
      </c>
      <c r="G25" s="3" t="n">
        <v>66.67</v>
      </c>
      <c r="H25" s="3" t="n">
        <v>85.54</v>
      </c>
      <c r="I25" s="3" t="n">
        <v>101.1</v>
      </c>
      <c r="J25" s="3" t="n">
        <v>101.05</v>
      </c>
      <c r="K25" s="3" t="n">
        <v>110.84</v>
      </c>
      <c r="L25" s="3" t="n">
        <v>115.37</v>
      </c>
      <c r="M25" s="3" t="n">
        <v>129.4</v>
      </c>
      <c r="N25" s="21" t="n">
        <f aca="false">(M25/C25)^(1/10)-1</f>
        <v>0.151359577731833</v>
      </c>
      <c r="O25" s="21" t="n">
        <f aca="false">(1+N25)/(1+WPI!$J$5)-1</f>
        <v>0.117229636654547</v>
      </c>
      <c r="P25" s="3" t="str">
        <f aca="false">IF(O25&gt;0,"Yes","No")</f>
        <v>Yes</v>
      </c>
      <c r="Q25" s="21" t="n">
        <f aca="false">M25/L25-1</f>
        <v>0.1216087371067</v>
      </c>
    </row>
    <row r="26" customFormat="false" ht="15" hidden="false" customHeight="true" outlineLevel="0" collapsed="false">
      <c r="A26" s="3" t="s">
        <v>207</v>
      </c>
      <c r="B26" s="3" t="s">
        <v>106</v>
      </c>
      <c r="C26" s="3" t="n">
        <v>34.79</v>
      </c>
      <c r="D26" s="3" t="n">
        <v>36.5</v>
      </c>
      <c r="E26" s="3" t="n">
        <v>122.12</v>
      </c>
      <c r="F26" s="3" t="n">
        <v>154.76</v>
      </c>
      <c r="G26" s="3" t="n">
        <v>171.06</v>
      </c>
      <c r="H26" s="3" t="n">
        <v>102.25</v>
      </c>
      <c r="I26" s="3" t="n">
        <v>86.27</v>
      </c>
      <c r="J26" s="3" t="n">
        <v>28.6</v>
      </c>
      <c r="K26" s="3" t="n">
        <v>29.68</v>
      </c>
      <c r="L26" s="3" t="n">
        <v>43.36</v>
      </c>
      <c r="M26" s="3" t="n">
        <v>41.39</v>
      </c>
      <c r="N26" s="21" t="n">
        <f aca="false">(M26/C26)^(1/10)-1</f>
        <v>0.0175226837111013</v>
      </c>
      <c r="O26" s="21" t="n">
        <f aca="false">(1+N26)/(1+WPI!$J$5)-1</f>
        <v>-0.0126399083335796</v>
      </c>
      <c r="P26" s="3" t="str">
        <f aca="false">IF(O26&gt;0,"Yes","No")</f>
        <v>No</v>
      </c>
      <c r="Q26" s="21" t="n">
        <f aca="false">M26/L26-1</f>
        <v>-0.0454335793357933</v>
      </c>
    </row>
    <row r="27" customFormat="false" ht="15" hidden="false" customHeight="true" outlineLevel="0" collapsed="false">
      <c r="A27" s="3" t="s">
        <v>208</v>
      </c>
      <c r="B27" s="3" t="s">
        <v>106</v>
      </c>
      <c r="C27" s="3" t="n">
        <v>106.53</v>
      </c>
      <c r="D27" s="3" t="n">
        <v>109.07</v>
      </c>
      <c r="E27" s="3" t="n">
        <v>131.93</v>
      </c>
      <c r="F27" s="3" t="n">
        <v>139.91</v>
      </c>
      <c r="G27" s="3" t="n">
        <v>168.38</v>
      </c>
      <c r="H27" s="3" t="n">
        <v>175.73</v>
      </c>
      <c r="I27" s="3" t="n">
        <v>183.62</v>
      </c>
      <c r="J27" s="3" t="n">
        <v>215.15</v>
      </c>
      <c r="K27" s="3" t="n">
        <v>206.27</v>
      </c>
      <c r="L27" s="3" t="n">
        <v>218.53</v>
      </c>
      <c r="M27" s="3" t="n">
        <v>166.7</v>
      </c>
      <c r="N27" s="21" t="n">
        <f aca="false">(M27/C27)^(1/10)-1</f>
        <v>0.0457945332427387</v>
      </c>
      <c r="O27" s="21" t="n">
        <f aca="false">(1+N27)/(1+WPI!$J$5)-1</f>
        <v>0.0147938741186475</v>
      </c>
      <c r="P27" s="3" t="str">
        <f aca="false">IF(O27&gt;0,"Yes","No")</f>
        <v>Yes</v>
      </c>
      <c r="Q27" s="21" t="n">
        <f aca="false">M27/L27-1</f>
        <v>-0.237175673820528</v>
      </c>
    </row>
    <row r="28" customFormat="false" ht="15" hidden="false" customHeight="true" outlineLevel="0" collapsed="false">
      <c r="A28" s="3" t="s">
        <v>209</v>
      </c>
      <c r="B28" s="3" t="s">
        <v>106</v>
      </c>
      <c r="C28" s="3" t="n">
        <v>60.64</v>
      </c>
      <c r="D28" s="3" t="n">
        <v>58.67</v>
      </c>
      <c r="E28" s="3" t="n">
        <v>47.81</v>
      </c>
      <c r="F28" s="3" t="n">
        <v>29.71</v>
      </c>
      <c r="G28" s="3" t="n">
        <v>19.04</v>
      </c>
      <c r="H28" s="3" t="n">
        <v>49.59</v>
      </c>
      <c r="I28" s="3" t="n">
        <v>96.23</v>
      </c>
      <c r="J28" s="3" t="n">
        <v>92.48</v>
      </c>
      <c r="K28" s="3" t="n">
        <v>78.83</v>
      </c>
      <c r="L28" s="3" t="n">
        <v>100.5</v>
      </c>
      <c r="M28" s="3" t="n">
        <v>70.28</v>
      </c>
      <c r="N28" s="21" t="n">
        <f aca="false">(M28/C28)^(1/10)-1</f>
        <v>0.0148626185985017</v>
      </c>
      <c r="O28" s="21" t="n">
        <f aca="false">(1+N28)/(1+WPI!$J$5)-1</f>
        <v>-0.0152211206991221</v>
      </c>
      <c r="P28" s="3" t="str">
        <f aca="false">IF(O28&gt;0,"Yes","No")</f>
        <v>No</v>
      </c>
      <c r="Q28" s="21" t="n">
        <f aca="false">M28/L28-1</f>
        <v>-0.300696517412935</v>
      </c>
    </row>
    <row r="29" customFormat="false" ht="15" hidden="false" customHeight="true" outlineLevel="0" collapsed="false">
      <c r="A29" s="3" t="s">
        <v>210</v>
      </c>
      <c r="B29" s="3" t="s">
        <v>105</v>
      </c>
      <c r="C29" s="3" t="n">
        <v>6.99</v>
      </c>
      <c r="D29" s="3" t="n">
        <v>7.56</v>
      </c>
      <c r="E29" s="3" t="n">
        <v>9.44</v>
      </c>
      <c r="F29" s="3" t="n">
        <v>14.87</v>
      </c>
      <c r="G29" s="3" t="n">
        <v>14.91</v>
      </c>
      <c r="H29" s="3" t="n">
        <v>13.56</v>
      </c>
      <c r="I29" s="3" t="n">
        <v>13.52</v>
      </c>
      <c r="J29" s="3" t="n">
        <v>11.32</v>
      </c>
      <c r="K29" s="3" t="n">
        <v>14.92</v>
      </c>
      <c r="L29" s="3" t="n">
        <v>12.64</v>
      </c>
      <c r="M29" s="3" t="n">
        <v>12.57</v>
      </c>
      <c r="N29" s="21" t="n">
        <f aca="false">(M29/C29)^(1/10)-1</f>
        <v>0.0604392898234292</v>
      </c>
      <c r="O29" s="21" t="n">
        <f aca="false">(1+N29)/(1+WPI!$J$5)-1</f>
        <v>0.0290045137745674</v>
      </c>
      <c r="P29" s="3" t="str">
        <f aca="false">IF(O29&gt;0,"Yes","No")</f>
        <v>Yes</v>
      </c>
      <c r="Q29" s="21" t="n">
        <f aca="false">M29/L29-1</f>
        <v>-0.00553797468354433</v>
      </c>
    </row>
    <row r="30" customFormat="false" ht="15" hidden="false" customHeight="true" outlineLevel="0" collapsed="false">
      <c r="A30" s="3" t="s">
        <v>211</v>
      </c>
      <c r="B30" s="3" t="s">
        <v>107</v>
      </c>
      <c r="C30" s="3" t="n">
        <v>145.27</v>
      </c>
      <c r="D30" s="3" t="n">
        <v>223.85</v>
      </c>
      <c r="E30" s="3" t="n">
        <v>278.19</v>
      </c>
      <c r="F30" s="3" t="n">
        <v>297.01</v>
      </c>
      <c r="G30" s="3" t="n">
        <v>267.06</v>
      </c>
      <c r="H30" s="3" t="n">
        <v>304.76</v>
      </c>
      <c r="I30" s="3" t="n">
        <v>408.06</v>
      </c>
      <c r="J30" s="3" t="n">
        <v>512.23</v>
      </c>
      <c r="K30" s="3" t="n">
        <v>689.24</v>
      </c>
      <c r="L30" s="3" t="n">
        <v>749.62</v>
      </c>
      <c r="M30" s="3" t="n">
        <v>1027.19</v>
      </c>
      <c r="N30" s="21" t="n">
        <f aca="false">(M30/C30)^(1/10)-1</f>
        <v>0.216038946958829</v>
      </c>
      <c r="O30" s="21" t="n">
        <f aca="false">(1+N30)/(1+WPI!$J$5)-1</f>
        <v>0.179991704715749</v>
      </c>
      <c r="P30" s="3" t="str">
        <f aca="false">IF(O30&gt;0,"Yes","No")</f>
        <v>Yes</v>
      </c>
      <c r="Q30" s="21" t="n">
        <f aca="false">M30/L30-1</f>
        <v>0.370280942344121</v>
      </c>
    </row>
    <row r="31" customFormat="false" ht="15" hidden="false" customHeight="true" outlineLevel="0" collapsed="false">
      <c r="A31" s="3" t="s">
        <v>212</v>
      </c>
      <c r="B31" s="3" t="s">
        <v>107</v>
      </c>
      <c r="C31" s="3" t="n">
        <v>159.38</v>
      </c>
      <c r="D31" s="3" t="n">
        <v>174.37</v>
      </c>
      <c r="E31" s="3" t="n">
        <v>224.08</v>
      </c>
      <c r="F31" s="3" t="n">
        <v>305.62</v>
      </c>
      <c r="G31" s="3" t="n">
        <v>310.06</v>
      </c>
      <c r="H31" s="3" t="n">
        <v>428.98</v>
      </c>
      <c r="I31" s="3" t="n">
        <v>483.18</v>
      </c>
      <c r="J31" s="3" t="n">
        <v>552.05</v>
      </c>
      <c r="K31" s="3" t="n">
        <v>611.07</v>
      </c>
      <c r="L31" s="3" t="n">
        <v>656.58</v>
      </c>
      <c r="M31" s="3" t="n">
        <v>636.66</v>
      </c>
      <c r="N31" s="21" t="n">
        <f aca="false">(M31/C31)^(1/10)-1</f>
        <v>0.148543304052602</v>
      </c>
      <c r="O31" s="21" t="n">
        <f aca="false">(1+N31)/(1+WPI!$J$5)-1</f>
        <v>0.114496846238572</v>
      </c>
      <c r="P31" s="3" t="str">
        <f aca="false">IF(O31&gt;0,"Yes","No")</f>
        <v>Yes</v>
      </c>
      <c r="Q31" s="21" t="n">
        <f aca="false">M31/L31-1</f>
        <v>-0.0303390295165861</v>
      </c>
    </row>
    <row r="32" customFormat="false" ht="15" hidden="false" customHeight="true" outlineLevel="0" collapsed="false">
      <c r="A32" s="3" t="s">
        <v>213</v>
      </c>
      <c r="B32" s="3" t="s">
        <v>108</v>
      </c>
      <c r="C32" s="3" t="n">
        <v>1051.42</v>
      </c>
      <c r="D32" s="3" t="n">
        <v>1213.2</v>
      </c>
      <c r="E32" s="3" t="n">
        <v>1363.9</v>
      </c>
      <c r="F32" s="3" t="n">
        <v>1666.2</v>
      </c>
      <c r="G32" s="3" t="n">
        <v>1919.9</v>
      </c>
      <c r="H32" s="3" t="n">
        <v>1917.6</v>
      </c>
      <c r="I32" s="3" t="n">
        <v>1986.1</v>
      </c>
      <c r="J32" s="3" t="n">
        <v>2217.4</v>
      </c>
      <c r="K32" s="3" t="n">
        <v>2052.9</v>
      </c>
      <c r="L32" s="3" t="n">
        <v>1679.7</v>
      </c>
      <c r="M32" s="3" t="n">
        <v>1809.5</v>
      </c>
      <c r="N32" s="21" t="n">
        <f aca="false">(M32/C32)^(1/10)-1</f>
        <v>0.0557916801671952</v>
      </c>
      <c r="O32" s="21" t="n">
        <f aca="false">(1+N32)/(1+WPI!$J$5)-1</f>
        <v>0.0244946739747582</v>
      </c>
      <c r="P32" s="3" t="str">
        <f aca="false">IF(O32&gt;0,"Yes","No")</f>
        <v>Yes</v>
      </c>
      <c r="Q32" s="21" t="n">
        <f aca="false">M32/L32-1</f>
        <v>0.0772757039947609</v>
      </c>
    </row>
    <row r="33" customFormat="false" ht="15" hidden="false" customHeight="true" outlineLevel="0" collapsed="false">
      <c r="A33" s="3" t="s">
        <v>214</v>
      </c>
      <c r="B33" s="3" t="s">
        <v>105</v>
      </c>
      <c r="C33" s="3" t="n">
        <v>0.48</v>
      </c>
      <c r="D33" s="3" t="n">
        <v>0.21</v>
      </c>
      <c r="E33" s="3" t="n">
        <v>1.86</v>
      </c>
      <c r="F33" s="3" t="n">
        <v>1.86</v>
      </c>
      <c r="G33" s="3" t="n">
        <v>1.71</v>
      </c>
      <c r="H33" s="3" t="n">
        <v>1.63</v>
      </c>
      <c r="I33" s="3" t="n">
        <v>1.51</v>
      </c>
      <c r="J33" s="3" t="n">
        <v>1.4</v>
      </c>
      <c r="K33" s="3" t="n">
        <v>1.83</v>
      </c>
      <c r="L33" s="3" t="n">
        <v>2.03</v>
      </c>
      <c r="M33" s="3" t="n">
        <v>5.33</v>
      </c>
      <c r="N33" s="21" t="n">
        <f aca="false">(M33/C33)^(1/10)-1</f>
        <v>0.272180097939313</v>
      </c>
      <c r="O33" s="21" t="n">
        <f aca="false">(1+N33)/(1+WPI!$J$5)-1</f>
        <v>0.234468654336351</v>
      </c>
      <c r="P33" s="3" t="str">
        <f aca="false">IF(O33&gt;0,"Yes","No")</f>
        <v>Yes</v>
      </c>
      <c r="Q33" s="21" t="n">
        <f aca="false">M33/L33-1</f>
        <v>1.6256157635468</v>
      </c>
    </row>
    <row r="34" customFormat="false" ht="15" hidden="false" customHeight="true" outlineLevel="0" collapsed="false">
      <c r="A34" s="3" t="s">
        <v>215</v>
      </c>
      <c r="B34" s="3" t="s">
        <v>107</v>
      </c>
      <c r="C34" s="3" t="n">
        <v>165.46</v>
      </c>
      <c r="D34" s="3" t="n">
        <v>218.41</v>
      </c>
      <c r="E34" s="3" t="n">
        <v>265.11</v>
      </c>
      <c r="F34" s="3" t="n">
        <v>348.71</v>
      </c>
      <c r="G34" s="3" t="n">
        <v>284.68</v>
      </c>
      <c r="H34" s="3" t="n">
        <v>311.27</v>
      </c>
      <c r="I34" s="3" t="n">
        <v>320.81</v>
      </c>
      <c r="J34" s="3" t="n">
        <v>325.3</v>
      </c>
      <c r="K34" s="3" t="n">
        <v>288.98</v>
      </c>
      <c r="L34" s="3" t="n">
        <v>414.49</v>
      </c>
      <c r="M34" s="3" t="n">
        <v>434.11</v>
      </c>
      <c r="N34" s="21" t="n">
        <f aca="false">(M34/C34)^(1/10)-1</f>
        <v>0.101262058947613</v>
      </c>
      <c r="O34" s="21" t="n">
        <f aca="false">(1+N34)/(1+WPI!$J$5)-1</f>
        <v>0.0686171668483293</v>
      </c>
      <c r="P34" s="3" t="str">
        <f aca="false">IF(O34&gt;0,"Yes","No")</f>
        <v>Yes</v>
      </c>
      <c r="Q34" s="21" t="n">
        <f aca="false">M34/L34-1</f>
        <v>0.0473352795001085</v>
      </c>
    </row>
    <row r="35" customFormat="false" ht="15" hidden="false" customHeight="true" outlineLevel="0" collapsed="false">
      <c r="A35" s="3" t="s">
        <v>216</v>
      </c>
      <c r="B35" s="3" t="s">
        <v>106</v>
      </c>
      <c r="C35" s="3" t="n">
        <v>45.1</v>
      </c>
      <c r="D35" s="3" t="n">
        <v>52.54</v>
      </c>
      <c r="E35" s="3" t="n">
        <v>56.08</v>
      </c>
      <c r="F35" s="3" t="n">
        <v>80.11</v>
      </c>
      <c r="G35" s="3" t="n">
        <v>85.27</v>
      </c>
      <c r="H35" s="3" t="n">
        <v>85.21</v>
      </c>
      <c r="I35" s="3" t="n">
        <v>80.01</v>
      </c>
      <c r="J35" s="3" t="n">
        <v>64.84</v>
      </c>
      <c r="K35" s="3" t="n">
        <v>56.9</v>
      </c>
      <c r="L35" s="3" t="n">
        <v>55.03</v>
      </c>
      <c r="M35" s="3" t="n">
        <v>69.38</v>
      </c>
      <c r="N35" s="21" t="n">
        <f aca="false">(M35/C35)^(1/10)-1</f>
        <v>0.0440126847217952</v>
      </c>
      <c r="O35" s="21" t="n">
        <f aca="false">(1+N35)/(1+WPI!$J$5)-1</f>
        <v>0.0130648452260849</v>
      </c>
      <c r="P35" s="3" t="str">
        <f aca="false">IF(O35&gt;0,"Yes","No")</f>
        <v>Yes</v>
      </c>
      <c r="Q35" s="21" t="n">
        <f aca="false">M35/L35-1</f>
        <v>0.260766854443031</v>
      </c>
    </row>
    <row r="36" customFormat="false" ht="15" hidden="false" customHeight="true" outlineLevel="0" collapsed="false">
      <c r="A36" s="3" t="s">
        <v>217</v>
      </c>
      <c r="B36" s="3" t="s">
        <v>108</v>
      </c>
      <c r="C36" s="3" t="n">
        <v>668.72</v>
      </c>
      <c r="D36" s="3" t="n">
        <v>793.53</v>
      </c>
      <c r="E36" s="3" t="n">
        <v>933.62</v>
      </c>
      <c r="F36" s="3" t="n">
        <v>1105.09</v>
      </c>
      <c r="G36" s="3" t="n">
        <v>1260.13</v>
      </c>
      <c r="H36" s="3" t="n">
        <v>1378.47</v>
      </c>
      <c r="I36" s="3" t="n">
        <v>1465.66</v>
      </c>
      <c r="J36" s="3" t="n">
        <v>1595.28</v>
      </c>
      <c r="K36" s="3" t="n">
        <v>1333.51</v>
      </c>
      <c r="L36" s="3" t="n">
        <v>1418.28</v>
      </c>
      <c r="M36" s="3" t="n">
        <v>1623.9</v>
      </c>
      <c r="N36" s="21" t="n">
        <f aca="false">(M36/C36)^(1/10)-1</f>
        <v>0.0927768773327689</v>
      </c>
      <c r="O36" s="21" t="n">
        <f aca="false">(1+N36)/(1+WPI!$J$5)-1</f>
        <v>0.060383512865813</v>
      </c>
      <c r="P36" s="3" t="str">
        <f aca="false">IF(O36&gt;0,"Yes","No")</f>
        <v>Yes</v>
      </c>
      <c r="Q36" s="21" t="n">
        <f aca="false">M36/L36-1</f>
        <v>0.144978424570607</v>
      </c>
    </row>
    <row r="37" customFormat="false" ht="15" hidden="false" customHeight="true" outlineLevel="0" collapsed="false">
      <c r="A37" s="3" t="s">
        <v>218</v>
      </c>
      <c r="B37" s="3" t="s">
        <v>105</v>
      </c>
      <c r="C37" s="3" t="n">
        <v>26.08</v>
      </c>
      <c r="D37" s="3" t="n">
        <v>31.03</v>
      </c>
      <c r="E37" s="3" t="n">
        <v>45.63</v>
      </c>
      <c r="F37" s="3" t="n">
        <v>48.81</v>
      </c>
      <c r="G37" s="3" t="n">
        <v>38.47</v>
      </c>
      <c r="H37" s="3" t="n">
        <v>82.22</v>
      </c>
      <c r="I37" s="3" t="n">
        <v>94.24</v>
      </c>
      <c r="J37" s="3" t="n">
        <v>153.37</v>
      </c>
      <c r="K37" s="3" t="n">
        <v>412.28</v>
      </c>
      <c r="L37" s="3" t="n">
        <v>509.16</v>
      </c>
      <c r="M37" s="3" t="n">
        <v>510.45</v>
      </c>
      <c r="N37" s="21" t="n">
        <f aca="false">(M37/C37)^(1/10)-1</f>
        <v>0.346370421749615</v>
      </c>
      <c r="O37" s="21" t="n">
        <f aca="false">(1+N37)/(1+WPI!$J$5)-1</f>
        <v>0.306459742191941</v>
      </c>
      <c r="P37" s="3" t="str">
        <f aca="false">IF(O37&gt;0,"Yes","No")</f>
        <v>Yes</v>
      </c>
      <c r="Q37" s="21" t="n">
        <f aca="false">M37/L37-1</f>
        <v>0.00253358472778698</v>
      </c>
    </row>
    <row r="38" customFormat="false" ht="15" hidden="false" customHeight="true" outlineLevel="0" collapsed="false">
      <c r="A38" s="3" t="s">
        <v>219</v>
      </c>
      <c r="B38" s="3" t="s">
        <v>106</v>
      </c>
      <c r="C38" s="3" t="n">
        <v>52.32</v>
      </c>
      <c r="D38" s="3" t="n">
        <v>102.51</v>
      </c>
      <c r="E38" s="3" t="n">
        <v>125.4</v>
      </c>
      <c r="F38" s="3" t="n">
        <v>49.26</v>
      </c>
      <c r="G38" s="3" t="n">
        <v>40.64</v>
      </c>
      <c r="H38" s="3" t="n">
        <v>59.23</v>
      </c>
      <c r="I38" s="3" t="n">
        <v>83.66</v>
      </c>
      <c r="J38" s="3" t="n">
        <v>103.34</v>
      </c>
      <c r="K38" s="3" t="n">
        <v>136.21</v>
      </c>
      <c r="L38" s="3" t="n">
        <v>178.54</v>
      </c>
      <c r="M38" s="3" t="n">
        <v>187.04</v>
      </c>
      <c r="N38" s="21" t="n">
        <f aca="false">(M38/C38)^(1/10)-1</f>
        <v>0.135864890784869</v>
      </c>
      <c r="O38" s="21" t="n">
        <f aca="false">(1+N38)/(1+WPI!$J$5)-1</f>
        <v>0.102194261257805</v>
      </c>
      <c r="P38" s="3" t="str">
        <f aca="false">IF(O38&gt;0,"Yes","No")</f>
        <v>Yes</v>
      </c>
      <c r="Q38" s="21" t="n">
        <f aca="false">M38/L38-1</f>
        <v>0.047608379074717</v>
      </c>
    </row>
    <row r="39" customFormat="false" ht="15" hidden="false" customHeight="true" outlineLevel="0" collapsed="false">
      <c r="A39" s="3" t="s">
        <v>125</v>
      </c>
      <c r="B39" s="3" t="s">
        <v>108</v>
      </c>
      <c r="C39" s="3" t="n">
        <v>5411.68</v>
      </c>
      <c r="D39" s="3" t="n">
        <v>5303.95</v>
      </c>
      <c r="E39" s="3" t="n">
        <v>6073.23</v>
      </c>
      <c r="F39" s="3" t="n">
        <v>7090.69</v>
      </c>
      <c r="G39" s="3" t="n">
        <v>8153.94</v>
      </c>
      <c r="H39" s="3" t="n">
        <v>8494.05</v>
      </c>
      <c r="I39" s="3" t="n">
        <v>10455.28</v>
      </c>
      <c r="J39" s="3" t="n">
        <v>9025.66</v>
      </c>
      <c r="K39" s="3" t="n">
        <v>11004.44</v>
      </c>
      <c r="L39" s="3" t="n">
        <v>11968.44</v>
      </c>
      <c r="M39" s="3" t="n">
        <v>12220.22</v>
      </c>
      <c r="N39" s="21" t="n">
        <f aca="false">(M39/C39)^(1/10)-1</f>
        <v>0.0848624856415106</v>
      </c>
      <c r="O39" s="21" t="n">
        <f aca="false">(1+N39)/(1+WPI!$J$5)-1</f>
        <v>0.0527037287874235</v>
      </c>
      <c r="P39" s="3" t="str">
        <f aca="false">IF(O39&gt;0,"Yes","No")</f>
        <v>Yes</v>
      </c>
      <c r="Q39" s="21" t="n">
        <f aca="false">M39/L39-1</f>
        <v>0.0210369939607835</v>
      </c>
    </row>
    <row r="40" customFormat="false" ht="15" hidden="false" customHeight="true" outlineLevel="0" collapsed="false">
      <c r="A40" s="3" t="s">
        <v>220</v>
      </c>
      <c r="B40" s="3" t="s">
        <v>105</v>
      </c>
      <c r="C40" s="3" t="n">
        <v>4.87</v>
      </c>
      <c r="D40" s="3" t="n">
        <v>5.39</v>
      </c>
      <c r="E40" s="3" t="n">
        <v>6.27</v>
      </c>
      <c r="F40" s="3" t="n">
        <v>7.68</v>
      </c>
      <c r="G40" s="3" t="n">
        <v>7.8</v>
      </c>
      <c r="H40" s="3" t="n">
        <v>8.21</v>
      </c>
      <c r="I40" s="3" t="n">
        <v>8.4</v>
      </c>
      <c r="J40" s="3" t="n">
        <v>8.05</v>
      </c>
      <c r="K40" s="3" t="n">
        <v>7.96</v>
      </c>
      <c r="L40" s="3" t="n">
        <v>7.67</v>
      </c>
      <c r="M40" s="3" t="n">
        <v>7.6</v>
      </c>
      <c r="N40" s="21" t="n">
        <f aca="false">(M40/C40)^(1/10)-1</f>
        <v>0.045510654884082</v>
      </c>
      <c r="O40" s="21" t="n">
        <f aca="false">(1+N40)/(1+WPI!$J$5)-1</f>
        <v>0.0145184108128045</v>
      </c>
      <c r="P40" s="3" t="str">
        <f aca="false">IF(O40&gt;0,"Yes","No")</f>
        <v>Yes</v>
      </c>
      <c r="Q40" s="21" t="n">
        <f aca="false">M40/L40-1</f>
        <v>-0.00912646675358542</v>
      </c>
    </row>
    <row r="41" customFormat="false" ht="15" hidden="false" customHeight="true" outlineLevel="0" collapsed="false">
      <c r="A41" s="3" t="s">
        <v>221</v>
      </c>
      <c r="B41" s="3" t="s">
        <v>106</v>
      </c>
      <c r="C41" s="3" t="n">
        <v>65.23</v>
      </c>
      <c r="D41" s="3" t="n">
        <v>108.1</v>
      </c>
      <c r="E41" s="3" t="n">
        <v>121.92</v>
      </c>
      <c r="F41" s="3" t="n">
        <v>132.01</v>
      </c>
      <c r="G41" s="3" t="n">
        <v>102.65</v>
      </c>
      <c r="H41" s="3" t="n">
        <v>102.65</v>
      </c>
      <c r="I41" s="3" t="n">
        <v>177.12</v>
      </c>
      <c r="J41" s="3" t="n">
        <v>128.91</v>
      </c>
      <c r="K41" s="3" t="n">
        <v>136.9</v>
      </c>
      <c r="L41" s="3" t="n">
        <v>156.2</v>
      </c>
      <c r="M41" s="3" t="n">
        <v>148.65</v>
      </c>
      <c r="N41" s="21" t="n">
        <f aca="false">(M41/C41)^(1/10)-1</f>
        <v>0.0858547950573936</v>
      </c>
      <c r="O41" s="21" t="n">
        <f aca="false">(1+N41)/(1+WPI!$J$5)-1</f>
        <v>0.0536666230123015</v>
      </c>
      <c r="P41" s="3" t="str">
        <f aca="false">IF(O41&gt;0,"Yes","No")</f>
        <v>Yes</v>
      </c>
      <c r="Q41" s="21" t="n">
        <f aca="false">M41/L41-1</f>
        <v>-0.0483354673495517</v>
      </c>
    </row>
    <row r="42" customFormat="false" ht="15" hidden="false" customHeight="true" outlineLevel="0" collapsed="false">
      <c r="A42" s="3" t="s">
        <v>222</v>
      </c>
      <c r="B42" s="3" t="s">
        <v>106</v>
      </c>
      <c r="C42" s="3" t="n">
        <v>106.32</v>
      </c>
      <c r="D42" s="3" t="n">
        <v>111.19</v>
      </c>
      <c r="E42" s="3" t="n">
        <v>132.94</v>
      </c>
      <c r="F42" s="3" t="n">
        <v>168.12</v>
      </c>
      <c r="G42" s="3" t="n">
        <v>206.35</v>
      </c>
      <c r="H42" s="3" t="n">
        <v>239.95</v>
      </c>
      <c r="I42" s="3" t="n">
        <v>286.8</v>
      </c>
      <c r="J42" s="3" t="n">
        <v>331.19</v>
      </c>
      <c r="K42" s="3" t="n">
        <v>332.28</v>
      </c>
      <c r="L42" s="3" t="n">
        <v>418.84</v>
      </c>
      <c r="M42" s="3" t="n">
        <v>482.97</v>
      </c>
      <c r="N42" s="21" t="n">
        <f aca="false">(M42/C42)^(1/10)-1</f>
        <v>0.163403909097123</v>
      </c>
      <c r="O42" s="21" t="n">
        <f aca="false">(1+N42)/(1+WPI!$J$5)-1</f>
        <v>0.128916935926856</v>
      </c>
      <c r="P42" s="3" t="str">
        <f aca="false">IF(O42&gt;0,"Yes","No")</f>
        <v>Yes</v>
      </c>
      <c r="Q42" s="21" t="n">
        <f aca="false">M42/L42-1</f>
        <v>0.153113360710534</v>
      </c>
    </row>
    <row r="43" customFormat="false" ht="15" hidden="false" customHeight="true" outlineLevel="0" collapsed="false">
      <c r="A43" s="3" t="s">
        <v>223</v>
      </c>
      <c r="B43" s="3" t="s">
        <v>105</v>
      </c>
      <c r="C43" s="3" t="n">
        <v>9.74</v>
      </c>
      <c r="D43" s="3" t="n">
        <v>24.13</v>
      </c>
      <c r="E43" s="3" t="n">
        <v>27.67</v>
      </c>
      <c r="F43" s="3" t="n">
        <v>28.07</v>
      </c>
      <c r="G43" s="3" t="n">
        <v>33.95</v>
      </c>
      <c r="H43" s="3" t="n">
        <v>40.02</v>
      </c>
      <c r="I43" s="3" t="n">
        <v>50.68</v>
      </c>
      <c r="J43" s="3" t="n">
        <v>57.49</v>
      </c>
      <c r="K43" s="3" t="n">
        <v>51.8</v>
      </c>
      <c r="L43" s="3" t="n">
        <v>48.08</v>
      </c>
      <c r="M43" s="3" t="n">
        <v>51.34</v>
      </c>
      <c r="N43" s="21" t="n">
        <f aca="false">(M43/C43)^(1/10)-1</f>
        <v>0.18083628762175</v>
      </c>
      <c r="O43" s="21" t="n">
        <f aca="false">(1+N43)/(1+WPI!$J$5)-1</f>
        <v>0.145832563591552</v>
      </c>
      <c r="P43" s="3" t="str">
        <f aca="false">IF(O43&gt;0,"Yes","No")</f>
        <v>Yes</v>
      </c>
      <c r="Q43" s="21" t="n">
        <f aca="false">M43/L43-1</f>
        <v>0.067803660565724</v>
      </c>
    </row>
    <row r="44" customFormat="false" ht="15" hidden="false" customHeight="true" outlineLevel="0" collapsed="false">
      <c r="A44" s="3" t="s">
        <v>224</v>
      </c>
      <c r="B44" s="3" t="s">
        <v>105</v>
      </c>
      <c r="C44" s="3" t="n">
        <v>33.83</v>
      </c>
      <c r="D44" s="3" t="n">
        <v>31.84</v>
      </c>
      <c r="E44" s="3" t="n">
        <v>39.59</v>
      </c>
      <c r="F44" s="3" t="n">
        <v>41.59</v>
      </c>
      <c r="G44" s="3" t="n">
        <v>50.17</v>
      </c>
      <c r="H44" s="3" t="n">
        <v>58.36</v>
      </c>
      <c r="I44" s="3" t="n">
        <v>74.3</v>
      </c>
      <c r="J44" s="3" t="n">
        <v>91.12</v>
      </c>
      <c r="K44" s="3" t="n">
        <v>89.87</v>
      </c>
      <c r="L44" s="3" t="n">
        <v>88.3</v>
      </c>
      <c r="M44" s="3" t="n">
        <v>68.25</v>
      </c>
      <c r="N44" s="21" t="n">
        <f aca="false">(M44/C44)^(1/10)-1</f>
        <v>0.0727044093488471</v>
      </c>
      <c r="O44" s="21" t="n">
        <f aca="false">(1+N44)/(1+WPI!$J$5)-1</f>
        <v>0.0409060563473074</v>
      </c>
      <c r="P44" s="3" t="str">
        <f aca="false">IF(O44&gt;0,"Yes","No")</f>
        <v>Yes</v>
      </c>
      <c r="Q44" s="21" t="n">
        <f aca="false">M44/L44-1</f>
        <v>-0.227066817667044</v>
      </c>
    </row>
    <row r="45" customFormat="false" ht="15" hidden="false" customHeight="true" outlineLevel="0" collapsed="false">
      <c r="A45" s="3" t="s">
        <v>225</v>
      </c>
      <c r="B45" s="3" t="s">
        <v>106</v>
      </c>
      <c r="C45" s="3" t="n">
        <v>39.32</v>
      </c>
      <c r="D45" s="3" t="n">
        <v>76.57</v>
      </c>
      <c r="E45" s="3" t="n">
        <v>104.32</v>
      </c>
      <c r="F45" s="3" t="n">
        <v>134.29</v>
      </c>
      <c r="G45" s="3" t="n">
        <v>122.35</v>
      </c>
      <c r="H45" s="3" t="n">
        <v>142.7</v>
      </c>
      <c r="I45" s="3" t="n">
        <v>97.21</v>
      </c>
      <c r="J45" s="3" t="n">
        <v>75.7</v>
      </c>
      <c r="K45" s="3" t="n">
        <v>113.9</v>
      </c>
      <c r="L45" s="3" t="n">
        <v>142.08</v>
      </c>
      <c r="M45" s="3" t="n">
        <v>202.44</v>
      </c>
      <c r="N45" s="21" t="n">
        <f aca="false">(M45/C45)^(1/10)-1</f>
        <v>0.178062364826233</v>
      </c>
      <c r="O45" s="21" t="n">
        <f aca="false">(1+N45)/(1+WPI!$J$5)-1</f>
        <v>0.143140868645088</v>
      </c>
      <c r="P45" s="3" t="str">
        <f aca="false">IF(O45&gt;0,"Yes","No")</f>
        <v>Yes</v>
      </c>
      <c r="Q45" s="21" t="n">
        <f aca="false">M45/L45-1</f>
        <v>0.424831081081081</v>
      </c>
    </row>
    <row r="46" customFormat="false" ht="15" hidden="false" customHeight="true" outlineLevel="0" collapsed="false">
      <c r="A46" s="3" t="s">
        <v>226</v>
      </c>
      <c r="B46" s="3" t="s">
        <v>106</v>
      </c>
      <c r="C46" s="3" t="n">
        <v>82.43</v>
      </c>
      <c r="D46" s="3" t="n">
        <v>92.84</v>
      </c>
      <c r="E46" s="3" t="n">
        <v>81.04</v>
      </c>
      <c r="F46" s="3" t="n">
        <v>132.72</v>
      </c>
      <c r="G46" s="3" t="n">
        <v>190.01</v>
      </c>
      <c r="H46" s="3" t="n">
        <v>233.2</v>
      </c>
      <c r="I46" s="3" t="n">
        <v>256.5</v>
      </c>
      <c r="J46" s="3" t="n">
        <v>185.03</v>
      </c>
      <c r="K46" s="3" t="n">
        <v>73.74</v>
      </c>
      <c r="L46" s="3" t="n">
        <v>158.38</v>
      </c>
      <c r="M46" s="3" t="n">
        <v>187.5</v>
      </c>
      <c r="N46" s="21" t="n">
        <f aca="false">(M46/C46)^(1/10)-1</f>
        <v>0.0856544009635729</v>
      </c>
      <c r="O46" s="21" t="n">
        <f aca="false">(1+N46)/(1+WPI!$J$5)-1</f>
        <v>0.0534721692335194</v>
      </c>
      <c r="P46" s="3" t="str">
        <f aca="false">IF(O46&gt;0,"Yes","No")</f>
        <v>Yes</v>
      </c>
      <c r="Q46" s="21" t="n">
        <f aca="false">M46/L46-1</f>
        <v>0.183861598686703</v>
      </c>
    </row>
    <row r="47" customFormat="false" ht="15" hidden="false" customHeight="true" outlineLevel="0" collapsed="false">
      <c r="A47" s="3" t="s">
        <v>227</v>
      </c>
      <c r="B47" s="3" t="s">
        <v>105</v>
      </c>
      <c r="C47" s="3" t="n">
        <v>10.91</v>
      </c>
      <c r="D47" s="3" t="n">
        <v>13.87</v>
      </c>
      <c r="E47" s="3" t="n">
        <v>14.63</v>
      </c>
      <c r="F47" s="3" t="n">
        <v>20.31</v>
      </c>
      <c r="G47" s="3" t="n">
        <v>21.99</v>
      </c>
      <c r="H47" s="3" t="n">
        <v>21.03</v>
      </c>
      <c r="I47" s="3" t="n">
        <v>22.51</v>
      </c>
      <c r="J47" s="3" t="n">
        <v>18.27</v>
      </c>
      <c r="K47" s="3" t="n">
        <v>16</v>
      </c>
      <c r="L47" s="3" t="n">
        <v>20.66</v>
      </c>
      <c r="M47" s="3" t="n">
        <v>19.35</v>
      </c>
      <c r="N47" s="21" t="n">
        <f aca="false">(M47/C47)^(1/10)-1</f>
        <v>0.0589747911691416</v>
      </c>
      <c r="O47" s="21" t="n">
        <f aca="false">(1+N47)/(1+WPI!$J$5)-1</f>
        <v>0.0275834274944375</v>
      </c>
      <c r="P47" s="3" t="str">
        <f aca="false">IF(O47&gt;0,"Yes","No")</f>
        <v>Yes</v>
      </c>
      <c r="Q47" s="21" t="n">
        <f aca="false">M47/L47-1</f>
        <v>-0.063407550822846</v>
      </c>
    </row>
    <row r="48" customFormat="false" ht="15" hidden="false" customHeight="true" outlineLevel="0" collapsed="false">
      <c r="A48" s="3" t="s">
        <v>134</v>
      </c>
      <c r="B48" s="3" t="s">
        <v>108</v>
      </c>
      <c r="C48" s="3" t="n">
        <v>935.02</v>
      </c>
      <c r="D48" s="3" t="n">
        <v>1319.49</v>
      </c>
      <c r="E48" s="3" t="n">
        <v>1847.35</v>
      </c>
      <c r="F48" s="3" t="n">
        <v>2117.55</v>
      </c>
      <c r="G48" s="3" t="n">
        <v>2518.73</v>
      </c>
      <c r="H48" s="3" t="n">
        <v>3091.91</v>
      </c>
      <c r="I48" s="3" t="n">
        <v>3735.24</v>
      </c>
      <c r="J48" s="3" t="n">
        <v>4052.57</v>
      </c>
      <c r="K48" s="3" t="n">
        <v>3722.2</v>
      </c>
      <c r="L48" s="3" t="n">
        <v>4727.84</v>
      </c>
      <c r="M48" s="3" t="n">
        <v>5198.31</v>
      </c>
      <c r="N48" s="21" t="n">
        <f aca="false">(M48/C48)^(1/10)-1</f>
        <v>0.187145983391635</v>
      </c>
      <c r="O48" s="21" t="n">
        <f aca="false">(1+N48)/(1+WPI!$J$5)-1</f>
        <v>0.151955220013342</v>
      </c>
      <c r="P48" s="3" t="str">
        <f aca="false">IF(O48&gt;0,"Yes","No")</f>
        <v>Yes</v>
      </c>
      <c r="Q48" s="21" t="n">
        <f aca="false">M48/L48-1</f>
        <v>0.0995105587329521</v>
      </c>
    </row>
    <row r="49" customFormat="false" ht="15" hidden="false" customHeight="true" outlineLevel="0" collapsed="false">
      <c r="A49" s="3" t="s">
        <v>127</v>
      </c>
      <c r="B49" s="3" t="s">
        <v>108</v>
      </c>
      <c r="C49" s="3" t="n">
        <v>4248.1</v>
      </c>
      <c r="D49" s="3" t="n">
        <v>5031.1</v>
      </c>
      <c r="E49" s="3" t="n">
        <v>6644.3</v>
      </c>
      <c r="F49" s="3" t="n">
        <v>8146.2</v>
      </c>
      <c r="G49" s="3" t="n">
        <v>9577.7</v>
      </c>
      <c r="H49" s="3" t="n">
        <v>9970.3</v>
      </c>
      <c r="I49" s="3" t="n">
        <v>10006</v>
      </c>
      <c r="J49" s="3" t="n">
        <v>9586.8</v>
      </c>
      <c r="K49" s="3" t="n">
        <v>9246.8</v>
      </c>
      <c r="L49" s="3" t="n">
        <v>10466.7</v>
      </c>
      <c r="M49" s="3" t="n">
        <v>10992.5</v>
      </c>
      <c r="N49" s="21" t="n">
        <f aca="false">(M49/C49)^(1/10)-1</f>
        <v>0.0997403866272881</v>
      </c>
      <c r="O49" s="21" t="n">
        <f aca="false">(1+N49)/(1+WPI!$J$5)-1</f>
        <v>0.0671406017105358</v>
      </c>
      <c r="P49" s="3" t="str">
        <f aca="false">IF(O49&gt;0,"Yes","No")</f>
        <v>Yes</v>
      </c>
      <c r="Q49" s="21" t="n">
        <f aca="false">M49/L49-1</f>
        <v>0.050235508804112</v>
      </c>
    </row>
    <row r="50" customFormat="false" ht="15" hidden="false" customHeight="true" outlineLevel="0" collapsed="false">
      <c r="A50" s="3" t="s">
        <v>228</v>
      </c>
      <c r="B50" s="3" t="s">
        <v>106</v>
      </c>
      <c r="C50" s="3" t="n">
        <v>114.69</v>
      </c>
      <c r="D50" s="3" t="n">
        <v>122.53</v>
      </c>
      <c r="E50" s="3" t="n">
        <v>132.56</v>
      </c>
      <c r="F50" s="3" t="n">
        <v>124.13</v>
      </c>
      <c r="G50" s="3" t="n">
        <v>134.46</v>
      </c>
      <c r="H50" s="3" t="n">
        <v>146.51</v>
      </c>
      <c r="I50" s="3" t="n">
        <v>157.64</v>
      </c>
      <c r="J50" s="3" t="n">
        <v>147.37</v>
      </c>
      <c r="K50" s="3" t="n">
        <v>152.57</v>
      </c>
      <c r="L50" s="3" t="n">
        <v>161</v>
      </c>
      <c r="M50" s="3" t="n">
        <v>158.2</v>
      </c>
      <c r="N50" s="21" t="n">
        <f aca="false">(M50/C50)^(1/10)-1</f>
        <v>0.0326855321813928</v>
      </c>
      <c r="O50" s="21" t="n">
        <f aca="false">(1+N50)/(1+WPI!$J$5)-1</f>
        <v>0.00207346532895958</v>
      </c>
      <c r="P50" s="3" t="str">
        <f aca="false">IF(O50&gt;0,"Yes","No")</f>
        <v>Yes</v>
      </c>
      <c r="Q50" s="21" t="n">
        <f aca="false">M50/L50-1</f>
        <v>-0.0173913043478262</v>
      </c>
    </row>
    <row r="51" customFormat="false" ht="15" hidden="false" customHeight="true" outlineLevel="0" collapsed="false">
      <c r="A51" s="3" t="s">
        <v>229</v>
      </c>
      <c r="B51" s="3" t="s">
        <v>108</v>
      </c>
      <c r="C51" s="3" t="n">
        <v>765.96</v>
      </c>
      <c r="D51" s="3" t="n">
        <v>934.94</v>
      </c>
      <c r="E51" s="3" t="n">
        <v>1050.14</v>
      </c>
      <c r="F51" s="3" t="n">
        <v>1077.73</v>
      </c>
      <c r="G51" s="3" t="n">
        <v>1320.47</v>
      </c>
      <c r="H51" s="3" t="n">
        <v>1645.51</v>
      </c>
      <c r="I51" s="3" t="n">
        <v>1705.03</v>
      </c>
      <c r="J51" s="3" t="n">
        <v>2052.85</v>
      </c>
      <c r="K51" s="3" t="n">
        <v>2206.88</v>
      </c>
      <c r="L51" s="3" t="n">
        <v>2404.39</v>
      </c>
      <c r="M51" s="3" t="n">
        <v>2332.64</v>
      </c>
      <c r="N51" s="21" t="n">
        <f aca="false">(M51/C51)^(1/10)-1</f>
        <v>0.117800148082346</v>
      </c>
      <c r="O51" s="21" t="n">
        <f aca="false">(1+N51)/(1+WPI!$J$5)-1</f>
        <v>0.0846650146904067</v>
      </c>
      <c r="P51" s="3" t="str">
        <f aca="false">IF(O51&gt;0,"Yes","No")</f>
        <v>Yes</v>
      </c>
      <c r="Q51" s="21" t="n">
        <f aca="false">M51/L51-1</f>
        <v>-0.0298412487158906</v>
      </c>
    </row>
    <row r="52" customFormat="false" ht="15" hidden="false" customHeight="true" outlineLevel="0" collapsed="false">
      <c r="A52" s="3" t="s">
        <v>230</v>
      </c>
      <c r="B52" s="3" t="s">
        <v>105</v>
      </c>
      <c r="C52" s="3" t="n">
        <v>12.43</v>
      </c>
      <c r="D52" s="3" t="n">
        <v>15.45</v>
      </c>
      <c r="E52" s="3" t="n">
        <v>16.67</v>
      </c>
      <c r="F52" s="3" t="n">
        <v>20.78</v>
      </c>
      <c r="G52" s="3" t="n">
        <v>30.36</v>
      </c>
      <c r="H52" s="3" t="n">
        <v>38.95</v>
      </c>
      <c r="I52" s="3" t="n">
        <v>36.59</v>
      </c>
      <c r="J52" s="3" t="n">
        <v>35.01</v>
      </c>
      <c r="K52" s="3" t="n">
        <v>36.25</v>
      </c>
      <c r="L52" s="3" t="n">
        <v>36.29</v>
      </c>
      <c r="M52" s="3" t="n">
        <v>43.49</v>
      </c>
      <c r="N52" s="21" t="n">
        <f aca="false">(M52/C52)^(1/10)-1</f>
        <v>0.133422495215744</v>
      </c>
      <c r="O52" s="21" t="n">
        <f aca="false">(1+N52)/(1+WPI!$J$5)-1</f>
        <v>0.0998242660217072</v>
      </c>
      <c r="P52" s="3" t="str">
        <f aca="false">IF(O52&gt;0,"Yes","No")</f>
        <v>Yes</v>
      </c>
      <c r="Q52" s="21" t="n">
        <f aca="false">M52/L52-1</f>
        <v>0.198401763571232</v>
      </c>
    </row>
    <row r="53" customFormat="false" ht="15" hidden="false" customHeight="true" outlineLevel="0" collapsed="false">
      <c r="A53" s="3" t="s">
        <v>231</v>
      </c>
      <c r="B53" s="3" t="s">
        <v>108</v>
      </c>
      <c r="C53" s="3" t="n">
        <v>630.32</v>
      </c>
      <c r="D53" s="3" t="n">
        <v>707.1</v>
      </c>
      <c r="E53" s="3" t="n">
        <v>708.55</v>
      </c>
      <c r="F53" s="3" t="n">
        <v>776.54</v>
      </c>
      <c r="G53" s="3" t="n">
        <v>847.59</v>
      </c>
      <c r="H53" s="3" t="n">
        <v>892.73</v>
      </c>
      <c r="I53" s="3" t="n">
        <v>1003.05</v>
      </c>
      <c r="J53" s="3" t="n">
        <v>1038.89</v>
      </c>
      <c r="K53" s="3" t="n">
        <v>1058.55</v>
      </c>
      <c r="L53" s="3" t="n">
        <v>1067.68</v>
      </c>
      <c r="M53" s="3" t="n">
        <v>1322.64</v>
      </c>
      <c r="N53" s="21" t="n">
        <f aca="false">(M53/C53)^(1/10)-1</f>
        <v>0.0769314413921614</v>
      </c>
      <c r="O53" s="21" t="n">
        <f aca="false">(1+N53)/(1+WPI!$J$5)-1</f>
        <v>0.0450077857854578</v>
      </c>
      <c r="P53" s="3" t="str">
        <f aca="false">IF(O53&gt;0,"Yes","No")</f>
        <v>Yes</v>
      </c>
      <c r="Q53" s="21" t="n">
        <f aca="false">M53/L53-1</f>
        <v>0.238798141765323</v>
      </c>
    </row>
    <row r="54" customFormat="false" ht="15" hidden="false" customHeight="true" outlineLevel="0" collapsed="false">
      <c r="A54" s="3" t="s">
        <v>232</v>
      </c>
      <c r="B54" s="3" t="s">
        <v>107</v>
      </c>
      <c r="C54" s="3" t="n">
        <v>215.26</v>
      </c>
      <c r="D54" s="3" t="n">
        <v>207.33</v>
      </c>
      <c r="E54" s="3" t="n">
        <v>216.11</v>
      </c>
      <c r="F54" s="3" t="n">
        <v>228.3</v>
      </c>
      <c r="G54" s="3" t="n">
        <v>269.84</v>
      </c>
      <c r="H54" s="3" t="n">
        <v>264.52</v>
      </c>
      <c r="I54" s="3" t="n">
        <v>289.73</v>
      </c>
      <c r="J54" s="3" t="n">
        <v>200.84</v>
      </c>
      <c r="K54" s="3" t="n">
        <v>241.95</v>
      </c>
      <c r="L54" s="3" t="n">
        <v>257.83</v>
      </c>
      <c r="M54" s="3" t="n">
        <v>208.97</v>
      </c>
      <c r="N54" s="21" t="n">
        <f aca="false">(M54/C54)^(1/10)-1</f>
        <v>-0.00296119686643614</v>
      </c>
      <c r="O54" s="21" t="n">
        <f aca="false">(1+N54)/(1+WPI!$J$5)-1</f>
        <v>-0.0325165818746127</v>
      </c>
      <c r="P54" s="3" t="str">
        <f aca="false">IF(O54&gt;0,"Yes","No")</f>
        <v>No</v>
      </c>
      <c r="Q54" s="21" t="n">
        <f aca="false">M54/L54-1</f>
        <v>-0.1895047124074</v>
      </c>
    </row>
    <row r="55" customFormat="false" ht="15" hidden="false" customHeight="true" outlineLevel="0" collapsed="false">
      <c r="A55" s="3" t="s">
        <v>233</v>
      </c>
      <c r="B55" s="3" t="s">
        <v>105</v>
      </c>
      <c r="C55" s="3" t="n">
        <v>3.65</v>
      </c>
      <c r="D55" s="3" t="n">
        <v>6.36</v>
      </c>
      <c r="E55" s="3" t="n">
        <v>10.39</v>
      </c>
      <c r="F55" s="3" t="n">
        <v>13.99</v>
      </c>
      <c r="G55" s="3" t="n">
        <v>19.53</v>
      </c>
      <c r="H55" s="3" t="n">
        <v>22.83</v>
      </c>
      <c r="I55" s="3" t="n">
        <v>40.31</v>
      </c>
      <c r="J55" s="3" t="n">
        <v>53.61</v>
      </c>
      <c r="K55" s="3" t="n">
        <v>58.07</v>
      </c>
      <c r="L55" s="3" t="n">
        <v>95.41</v>
      </c>
      <c r="M55" s="3" t="n">
        <v>110.3</v>
      </c>
      <c r="N55" s="21" t="n">
        <f aca="false">(M55/C55)^(1/10)-1</f>
        <v>0.406139035638095</v>
      </c>
      <c r="O55" s="21" t="n">
        <f aca="false">(1+N55)/(1+WPI!$J$5)-1</f>
        <v>0.364456625241734</v>
      </c>
      <c r="P55" s="3" t="str">
        <f aca="false">IF(O55&gt;0,"Yes","No")</f>
        <v>Yes</v>
      </c>
      <c r="Q55" s="21" t="n">
        <f aca="false">M55/L55-1</f>
        <v>0.156063305733152</v>
      </c>
    </row>
    <row r="56" customFormat="false" ht="15" hidden="false" customHeight="true" outlineLevel="0" collapsed="false">
      <c r="A56" s="3" t="s">
        <v>234</v>
      </c>
      <c r="B56" s="3" t="s">
        <v>105</v>
      </c>
      <c r="C56" s="3" t="n">
        <v>15.45</v>
      </c>
      <c r="D56" s="3" t="n">
        <v>19.78</v>
      </c>
      <c r="E56" s="3" t="n">
        <v>25.18</v>
      </c>
      <c r="F56" s="3" t="n">
        <v>30.92</v>
      </c>
      <c r="G56" s="3" t="n">
        <v>36.08</v>
      </c>
      <c r="H56" s="3" t="n">
        <v>33.33</v>
      </c>
      <c r="I56" s="3" t="n">
        <v>40.31</v>
      </c>
      <c r="J56" s="3" t="n">
        <v>43.31</v>
      </c>
      <c r="K56" s="3" t="n">
        <v>47.18</v>
      </c>
      <c r="L56" s="3" t="n">
        <v>59.93</v>
      </c>
      <c r="M56" s="3" t="n">
        <v>59.93</v>
      </c>
      <c r="N56" s="21" t="n">
        <f aca="false">(M56/C56)^(1/10)-1</f>
        <v>0.145174264061637</v>
      </c>
      <c r="O56" s="21" t="n">
        <f aca="false">(1+N56)/(1+WPI!$J$5)-1</f>
        <v>0.111227675253435</v>
      </c>
      <c r="P56" s="3" t="str">
        <f aca="false">IF(O56&gt;0,"Yes","No")</f>
        <v>Yes</v>
      </c>
      <c r="Q56" s="21" t="n">
        <f aca="false">M56/L56-1</f>
        <v>0</v>
      </c>
    </row>
    <row r="57" customFormat="false" ht="15" hidden="false" customHeight="true" outlineLevel="0" collapsed="false">
      <c r="A57" s="3" t="s">
        <v>235</v>
      </c>
      <c r="B57" s="3" t="s">
        <v>106</v>
      </c>
      <c r="C57" s="3" t="n">
        <v>57.53</v>
      </c>
      <c r="D57" s="3" t="n">
        <v>69.36</v>
      </c>
      <c r="E57" s="3" t="n">
        <v>54.04</v>
      </c>
      <c r="F57" s="3" t="n">
        <v>79.53</v>
      </c>
      <c r="G57" s="3" t="n">
        <v>66.09</v>
      </c>
      <c r="H57" s="3" t="n">
        <v>76.87</v>
      </c>
      <c r="I57" s="3" t="n">
        <v>107.75</v>
      </c>
      <c r="J57" s="3" t="n">
        <v>151.79</v>
      </c>
      <c r="K57" s="3" t="n">
        <v>166.12</v>
      </c>
      <c r="L57" s="3" t="n">
        <v>176.92</v>
      </c>
      <c r="M57" s="3" t="n">
        <v>203.19</v>
      </c>
      <c r="N57" s="21" t="n">
        <f aca="false">(M57/C57)^(1/10)-1</f>
        <v>0.134490322602224</v>
      </c>
      <c r="O57" s="21" t="n">
        <f aca="false">(1+N57)/(1+WPI!$J$5)-1</f>
        <v>0.100860439625576</v>
      </c>
      <c r="P57" s="3" t="str">
        <f aca="false">IF(O57&gt;0,"Yes","No")</f>
        <v>Yes</v>
      </c>
      <c r="Q57" s="21" t="n">
        <f aca="false">M57/L57-1</f>
        <v>0.148485191046801</v>
      </c>
    </row>
    <row r="58" customFormat="false" ht="15" hidden="false" customHeight="true" outlineLevel="0" collapsed="false">
      <c r="A58" s="3" t="s">
        <v>236</v>
      </c>
      <c r="B58" s="3" t="s">
        <v>106</v>
      </c>
      <c r="C58" s="3" t="n">
        <v>89.03</v>
      </c>
      <c r="D58" s="3" t="n">
        <v>120.23</v>
      </c>
      <c r="E58" s="3" t="n">
        <v>141.68</v>
      </c>
      <c r="F58" s="3" t="n">
        <v>152.78</v>
      </c>
      <c r="G58" s="3" t="n">
        <v>136.51</v>
      </c>
      <c r="H58" s="3" t="n">
        <v>146.47</v>
      </c>
      <c r="I58" s="3" t="n">
        <v>159.16</v>
      </c>
      <c r="J58" s="3" t="n">
        <v>154.13</v>
      </c>
      <c r="K58" s="3" t="n">
        <v>147.62</v>
      </c>
      <c r="L58" s="3" t="n">
        <v>157.87</v>
      </c>
      <c r="M58" s="3" t="n">
        <v>191.3</v>
      </c>
      <c r="N58" s="21" t="n">
        <f aca="false">(M58/C58)^(1/10)-1</f>
        <v>0.079488101291225</v>
      </c>
      <c r="O58" s="21" t="n">
        <f aca="false">(1+N58)/(1+WPI!$J$5)-1</f>
        <v>0.0474886581951937</v>
      </c>
      <c r="P58" s="3" t="str">
        <f aca="false">IF(O58&gt;0,"Yes","No")</f>
        <v>Yes</v>
      </c>
      <c r="Q58" s="21" t="n">
        <f aca="false">M58/L58-1</f>
        <v>0.211756508519668</v>
      </c>
    </row>
    <row r="59" customFormat="false" ht="15" hidden="false" customHeight="true" outlineLevel="0" collapsed="false">
      <c r="A59" s="3" t="s">
        <v>237</v>
      </c>
      <c r="B59" s="3" t="s">
        <v>107</v>
      </c>
      <c r="C59" s="3" t="n">
        <v>207.15</v>
      </c>
      <c r="D59" s="3" t="n">
        <v>457.9</v>
      </c>
      <c r="E59" s="3" t="n">
        <v>526.67</v>
      </c>
      <c r="F59" s="3" t="n">
        <v>644.99</v>
      </c>
      <c r="G59" s="3" t="n">
        <v>799.2</v>
      </c>
      <c r="H59" s="3" t="n">
        <v>847.9</v>
      </c>
      <c r="I59" s="3" t="n">
        <v>1141.03</v>
      </c>
      <c r="J59" s="3" t="n">
        <v>1021.33</v>
      </c>
      <c r="K59" s="3" t="n">
        <v>1420.64</v>
      </c>
      <c r="L59" s="3" t="n">
        <v>1781.29</v>
      </c>
      <c r="M59" s="3" t="n">
        <v>2321.96</v>
      </c>
      <c r="N59" s="21" t="n">
        <f aca="false">(M59/C59)^(1/10)-1</f>
        <v>0.273376936521682</v>
      </c>
      <c r="O59" s="21" t="n">
        <f aca="false">(1+N59)/(1+WPI!$J$5)-1</f>
        <v>0.235630014836038</v>
      </c>
      <c r="P59" s="3" t="str">
        <f aca="false">IF(O59&gt;0,"Yes","No")</f>
        <v>Yes</v>
      </c>
      <c r="Q59" s="21" t="n">
        <f aca="false">M59/L59-1</f>
        <v>0.303527219037888</v>
      </c>
    </row>
    <row r="60" customFormat="false" ht="15" hidden="false" customHeight="true" outlineLevel="0" collapsed="false">
      <c r="A60" s="3" t="s">
        <v>138</v>
      </c>
      <c r="B60" s="3" t="s">
        <v>108</v>
      </c>
      <c r="C60" s="3" t="n">
        <v>1572.63</v>
      </c>
      <c r="D60" s="3" t="n">
        <v>1767.49</v>
      </c>
      <c r="E60" s="3" t="n">
        <v>1930.65</v>
      </c>
      <c r="F60" s="3" t="n">
        <v>2669.97</v>
      </c>
      <c r="G60" s="3" t="n">
        <v>2593.39</v>
      </c>
      <c r="H60" s="3" t="n">
        <v>3358.54</v>
      </c>
      <c r="I60" s="3" t="n">
        <v>2753.02</v>
      </c>
      <c r="J60" s="3" t="n">
        <v>2920.79</v>
      </c>
      <c r="K60" s="3" t="n">
        <v>2820.03</v>
      </c>
      <c r="L60" s="3" t="n">
        <v>3089.48</v>
      </c>
      <c r="M60" s="3" t="n">
        <v>3187.35</v>
      </c>
      <c r="N60" s="21" t="n">
        <f aca="false">(M60/C60)^(1/10)-1</f>
        <v>0.0731991497875562</v>
      </c>
      <c r="O60" s="21" t="n">
        <f aca="false">(1+N60)/(1+WPI!$J$5)-1</f>
        <v>0.041386131113929</v>
      </c>
      <c r="P60" s="3" t="str">
        <f aca="false">IF(O60&gt;0,"Yes","No")</f>
        <v>Yes</v>
      </c>
      <c r="Q60" s="21" t="n">
        <f aca="false">M60/L60-1</f>
        <v>0.0316784701632638</v>
      </c>
    </row>
    <row r="61" customFormat="false" ht="15" hidden="false" customHeight="true" outlineLevel="0" collapsed="false">
      <c r="A61" s="3" t="s">
        <v>131</v>
      </c>
      <c r="B61" s="3" t="s">
        <v>108</v>
      </c>
      <c r="C61" s="3" t="n">
        <v>1028.16</v>
      </c>
      <c r="D61" s="3" t="n">
        <v>1156.02</v>
      </c>
      <c r="E61" s="3" t="n">
        <v>1547.31</v>
      </c>
      <c r="F61" s="3" t="n">
        <v>1956.81</v>
      </c>
      <c r="G61" s="3" t="n">
        <v>2326.31</v>
      </c>
      <c r="H61" s="3" t="n">
        <v>5134.42</v>
      </c>
      <c r="I61" s="3" t="n">
        <v>5727</v>
      </c>
      <c r="J61" s="3" t="n">
        <v>7637.57</v>
      </c>
      <c r="K61" s="3" t="n">
        <v>5189.42</v>
      </c>
      <c r="L61" s="3" t="n">
        <v>6072.35</v>
      </c>
      <c r="M61" s="3" t="n">
        <v>6413.14</v>
      </c>
      <c r="N61" s="21" t="n">
        <f aca="false">(M61/C61)^(1/10)-1</f>
        <v>0.200883842815151</v>
      </c>
      <c r="O61" s="21" t="n">
        <f aca="false">(1+N61)/(1+WPI!$J$5)-1</f>
        <v>0.165285845813478</v>
      </c>
      <c r="P61" s="3" t="str">
        <f aca="false">IF(O61&gt;0,"Yes","No")</f>
        <v>Yes</v>
      </c>
      <c r="Q61" s="21" t="n">
        <f aca="false">M61/L61-1</f>
        <v>0.0561216003688851</v>
      </c>
    </row>
    <row r="62" customFormat="false" ht="15" hidden="false" customHeight="true" outlineLevel="0" collapsed="false">
      <c r="A62" s="3" t="s">
        <v>238</v>
      </c>
      <c r="B62" s="3" t="s">
        <v>105</v>
      </c>
      <c r="C62" s="3" t="n">
        <v>14.06</v>
      </c>
      <c r="D62" s="3" t="n">
        <v>22.78</v>
      </c>
      <c r="E62" s="3" t="n">
        <v>28.09</v>
      </c>
      <c r="F62" s="3" t="n">
        <v>33.78</v>
      </c>
      <c r="G62" s="3" t="n">
        <v>27.96</v>
      </c>
      <c r="H62" s="3" t="n">
        <v>31.02</v>
      </c>
      <c r="I62" s="3" t="n">
        <v>30.79</v>
      </c>
      <c r="J62" s="3" t="n">
        <v>61.06</v>
      </c>
      <c r="K62" s="3" t="n">
        <v>41.24</v>
      </c>
      <c r="L62" s="3" t="n">
        <v>46.13</v>
      </c>
      <c r="M62" s="3" t="n">
        <v>29.47</v>
      </c>
      <c r="N62" s="21" t="n">
        <f aca="false">(M62/C62)^(1/10)-1</f>
        <v>0.0768109953991796</v>
      </c>
      <c r="O62" s="21" t="n">
        <f aca="false">(1+N62)/(1+WPI!$J$5)-1</f>
        <v>0.0448909101928297</v>
      </c>
      <c r="P62" s="3" t="str">
        <f aca="false">IF(O62&gt;0,"Yes","No")</f>
        <v>Yes</v>
      </c>
      <c r="Q62" s="21" t="n">
        <f aca="false">M62/L62-1</f>
        <v>-0.361153262518968</v>
      </c>
    </row>
    <row r="63" customFormat="false" ht="15" hidden="false" customHeight="true" outlineLevel="0" collapsed="false">
      <c r="A63" s="3" t="s">
        <v>239</v>
      </c>
      <c r="B63" s="3" t="s">
        <v>105</v>
      </c>
      <c r="C63" s="3" t="n">
        <v>0.41</v>
      </c>
      <c r="D63" s="3" t="n">
        <v>1.32</v>
      </c>
      <c r="E63" s="3" t="n">
        <v>0.8</v>
      </c>
      <c r="F63" s="3" t="n">
        <v>1.72</v>
      </c>
      <c r="G63" s="3" t="n">
        <v>1.38</v>
      </c>
      <c r="H63" s="3" t="n">
        <v>56.44</v>
      </c>
      <c r="I63" s="3" t="n">
        <v>78.47</v>
      </c>
      <c r="J63" s="3" t="n">
        <v>82.37</v>
      </c>
      <c r="K63" s="3" t="n">
        <v>64.07</v>
      </c>
      <c r="L63" s="3" t="n">
        <v>83.54</v>
      </c>
      <c r="M63" s="3" t="n">
        <v>95.7</v>
      </c>
      <c r="N63" s="21" t="n">
        <f aca="false">(M63/C63)^(1/10)-1</f>
        <v>0.725094172547359</v>
      </c>
      <c r="O63" s="21" t="n">
        <f aca="false">(1+N63)/(1+WPI!$J$5)-1</f>
        <v>0.673956922638171</v>
      </c>
      <c r="P63" s="3" t="str">
        <f aca="false">IF(O63&gt;0,"Yes","No")</f>
        <v>Yes</v>
      </c>
      <c r="Q63" s="21" t="n">
        <f aca="false">M63/L63-1</f>
        <v>0.145559013646158</v>
      </c>
    </row>
    <row r="64" customFormat="false" ht="15" hidden="false" customHeight="true" outlineLevel="0" collapsed="false">
      <c r="A64" s="3" t="s">
        <v>240</v>
      </c>
      <c r="B64" s="3" t="s">
        <v>105</v>
      </c>
      <c r="C64" s="3" t="n">
        <v>5.81</v>
      </c>
      <c r="D64" s="3" t="n">
        <v>6.92</v>
      </c>
      <c r="E64" s="3" t="n">
        <v>7.95</v>
      </c>
      <c r="F64" s="3" t="n">
        <v>11.27</v>
      </c>
      <c r="G64" s="3" t="n">
        <v>17.64</v>
      </c>
      <c r="H64" s="3" t="n">
        <v>10.48</v>
      </c>
      <c r="I64" s="3" t="n">
        <v>12.16</v>
      </c>
      <c r="J64" s="3" t="n">
        <v>9.08</v>
      </c>
      <c r="K64" s="3" t="n">
        <v>9.69</v>
      </c>
      <c r="L64" s="3" t="n">
        <v>15.23</v>
      </c>
      <c r="M64" s="3" t="n">
        <v>28.16</v>
      </c>
      <c r="N64" s="21" t="n">
        <f aca="false">(M64/C64)^(1/10)-1</f>
        <v>0.170969684873452</v>
      </c>
      <c r="O64" s="21" t="n">
        <f aca="false">(1+N64)/(1+WPI!$J$5)-1</f>
        <v>0.136258438169143</v>
      </c>
      <c r="P64" s="3" t="str">
        <f aca="false">IF(O64&gt;0,"Yes","No")</f>
        <v>Yes</v>
      </c>
      <c r="Q64" s="21" t="n">
        <f aca="false">M64/L64-1</f>
        <v>0.848982271831911</v>
      </c>
    </row>
    <row r="65" customFormat="false" ht="15" hidden="false" customHeight="true" outlineLevel="0" collapsed="false">
      <c r="A65" s="3" t="s">
        <v>241</v>
      </c>
      <c r="B65" s="3" t="s">
        <v>106</v>
      </c>
      <c r="C65" s="3" t="n">
        <v>40.03</v>
      </c>
      <c r="D65" s="3" t="n">
        <v>37.66</v>
      </c>
      <c r="E65" s="3" t="n">
        <v>50.12</v>
      </c>
      <c r="F65" s="3" t="n">
        <v>54.84</v>
      </c>
      <c r="G65" s="3" t="n">
        <v>64.42</v>
      </c>
      <c r="H65" s="3" t="n">
        <v>79.32</v>
      </c>
      <c r="I65" s="3" t="n">
        <v>82.6</v>
      </c>
      <c r="J65" s="3" t="n">
        <v>84.23</v>
      </c>
      <c r="K65" s="3" t="n">
        <v>98.84</v>
      </c>
      <c r="L65" s="3" t="n">
        <v>133.86</v>
      </c>
      <c r="M65" s="3" t="n">
        <v>111.37</v>
      </c>
      <c r="N65" s="21" t="n">
        <f aca="false">(M65/C65)^(1/10)-1</f>
        <v>0.107741083470991</v>
      </c>
      <c r="O65" s="21" t="n">
        <f aca="false">(1+N65)/(1+WPI!$J$5)-1</f>
        <v>0.07490413258356</v>
      </c>
      <c r="P65" s="3" t="str">
        <f aca="false">IF(O65&gt;0,"Yes","No")</f>
        <v>Yes</v>
      </c>
      <c r="Q65" s="21" t="n">
        <f aca="false">M65/L65-1</f>
        <v>-0.168011355147169</v>
      </c>
    </row>
    <row r="66" customFormat="false" ht="15" hidden="false" customHeight="true" outlineLevel="0" collapsed="false">
      <c r="A66" s="3" t="s">
        <v>242</v>
      </c>
      <c r="B66" s="3" t="s">
        <v>107</v>
      </c>
      <c r="C66" s="3" t="n">
        <v>393.56</v>
      </c>
      <c r="D66" s="3" t="n">
        <v>412.96</v>
      </c>
      <c r="E66" s="3" t="n">
        <v>572.31</v>
      </c>
      <c r="F66" s="3" t="n">
        <v>699.03</v>
      </c>
      <c r="G66" s="3" t="n">
        <v>1021.27</v>
      </c>
      <c r="H66" s="3" t="n">
        <v>1249.08</v>
      </c>
      <c r="I66" s="3" t="n">
        <v>1352.63</v>
      </c>
      <c r="J66" s="3" t="n">
        <v>1325.25</v>
      </c>
      <c r="K66" s="3" t="n">
        <v>1603.77</v>
      </c>
      <c r="L66" s="3" t="n">
        <v>2053.59</v>
      </c>
      <c r="M66" s="3" t="n">
        <v>2256.52</v>
      </c>
      <c r="N66" s="21" t="n">
        <f aca="false">(M66/C66)^(1/10)-1</f>
        <v>0.190810960997587</v>
      </c>
      <c r="O66" s="21" t="n">
        <f aca="false">(1+N66)/(1+WPI!$J$5)-1</f>
        <v>0.155511556086135</v>
      </c>
      <c r="P66" s="3" t="str">
        <f aca="false">IF(O66&gt;0,"Yes","No")</f>
        <v>Yes</v>
      </c>
      <c r="Q66" s="21" t="n">
        <f aca="false">M66/L66-1</f>
        <v>0.0988171933053823</v>
      </c>
    </row>
    <row r="67" customFormat="false" ht="15" hidden="false" customHeight="true" outlineLevel="0" collapsed="false">
      <c r="A67" s="3" t="s">
        <v>243</v>
      </c>
      <c r="B67" s="3" t="s">
        <v>105</v>
      </c>
      <c r="C67" s="3" t="n">
        <v>1.4</v>
      </c>
      <c r="D67" s="3" t="n">
        <v>4.68</v>
      </c>
      <c r="E67" s="3" t="n">
        <v>11.27</v>
      </c>
      <c r="F67" s="3" t="n">
        <v>11.68</v>
      </c>
      <c r="G67" s="3" t="n">
        <v>3.51</v>
      </c>
      <c r="H67" s="3" t="n">
        <v>6.56</v>
      </c>
      <c r="I67" s="3" t="n">
        <v>20.39</v>
      </c>
      <c r="J67" s="3" t="n">
        <v>26.99</v>
      </c>
      <c r="K67" s="3" t="n">
        <v>30.46</v>
      </c>
      <c r="L67" s="3" t="n">
        <v>29.18</v>
      </c>
      <c r="M67" s="3" t="n">
        <v>13.47</v>
      </c>
      <c r="N67" s="21" t="n">
        <f aca="false">(M67/C67)^(1/10)-1</f>
        <v>0.254076287114769</v>
      </c>
      <c r="O67" s="21" t="n">
        <f aca="false">(1+N67)/(1+WPI!$J$5)-1</f>
        <v>0.216901497749689</v>
      </c>
      <c r="P67" s="3" t="str">
        <f aca="false">IF(O67&gt;0,"Yes","No")</f>
        <v>Yes</v>
      </c>
      <c r="Q67" s="21" t="n">
        <f aca="false">M67/L67-1</f>
        <v>-0.538382453735435</v>
      </c>
    </row>
    <row r="68" customFormat="false" ht="15" hidden="false" customHeight="true" outlineLevel="0" collapsed="false">
      <c r="A68" s="3" t="s">
        <v>244</v>
      </c>
      <c r="B68" s="3" t="s">
        <v>105</v>
      </c>
      <c r="C68" s="3" t="n">
        <v>1.32</v>
      </c>
      <c r="D68" s="3" t="n">
        <v>4.14</v>
      </c>
      <c r="E68" s="3" t="n">
        <v>4.88</v>
      </c>
      <c r="F68" s="3" t="n">
        <v>81.84</v>
      </c>
      <c r="G68" s="3" t="n">
        <v>25.74</v>
      </c>
      <c r="H68" s="3" t="n">
        <v>22.91</v>
      </c>
      <c r="I68" s="3" t="n">
        <v>21.54</v>
      </c>
      <c r="J68" s="3" t="n">
        <v>21.65</v>
      </c>
      <c r="K68" s="3" t="n">
        <v>25.71</v>
      </c>
      <c r="L68" s="3" t="n">
        <v>27.8</v>
      </c>
      <c r="M68" s="3" t="n">
        <v>33.72</v>
      </c>
      <c r="N68" s="21" t="n">
        <f aca="false">(M68/C68)^(1/10)-1</f>
        <v>0.382710826916761</v>
      </c>
      <c r="O68" s="21" t="n">
        <f aca="false">(1+N68)/(1+WPI!$J$5)-1</f>
        <v>0.341722902759686</v>
      </c>
      <c r="P68" s="3" t="str">
        <f aca="false">IF(O68&gt;0,"Yes","No")</f>
        <v>Yes</v>
      </c>
      <c r="Q68" s="21" t="n">
        <f aca="false">M68/L68-1</f>
        <v>0.21294964028777</v>
      </c>
    </row>
    <row r="69" customFormat="false" ht="15" hidden="false" customHeight="true" outlineLevel="0" collapsed="false">
      <c r="A69" s="3" t="s">
        <v>245</v>
      </c>
      <c r="B69" s="3" t="s">
        <v>105</v>
      </c>
      <c r="C69" s="3" t="n">
        <v>12.61</v>
      </c>
      <c r="D69" s="3" t="n">
        <v>6.88</v>
      </c>
      <c r="E69" s="3" t="n">
        <v>5.11</v>
      </c>
      <c r="F69" s="3" t="n">
        <v>4.64</v>
      </c>
      <c r="G69" s="3" t="n">
        <v>4.46</v>
      </c>
      <c r="H69" s="3" t="n">
        <v>2.94</v>
      </c>
      <c r="I69" s="3" t="n">
        <v>1.83</v>
      </c>
      <c r="J69" s="3" t="n">
        <v>1.12</v>
      </c>
      <c r="K69" s="3" t="n">
        <v>0.05</v>
      </c>
      <c r="L69" s="3" t="n">
        <v>0.92</v>
      </c>
      <c r="M69" s="3" t="n">
        <v>0.48</v>
      </c>
      <c r="N69" s="21" t="n">
        <f aca="false">(M69/C69)^(1/10)-1</f>
        <v>-0.278805152849379</v>
      </c>
      <c r="O69" s="21" t="n">
        <f aca="false">(1+N69)/(1+WPI!$J$5)-1</f>
        <v>-0.30018365016208</v>
      </c>
      <c r="P69" s="3" t="str">
        <f aca="false">IF(O69&gt;0,"Yes","No")</f>
        <v>No</v>
      </c>
      <c r="Q69" s="21" t="n">
        <f aca="false">M69/L69-1</f>
        <v>-0.478260869565217</v>
      </c>
    </row>
    <row r="70" customFormat="false" ht="15" hidden="false" customHeight="true" outlineLevel="0" collapsed="false">
      <c r="A70" s="3" t="s">
        <v>246</v>
      </c>
      <c r="B70" s="3" t="s">
        <v>108</v>
      </c>
      <c r="C70" s="3" t="n">
        <v>1468.06</v>
      </c>
      <c r="D70" s="3" t="n">
        <v>1717.52</v>
      </c>
      <c r="E70" s="3" t="n">
        <v>1279.17</v>
      </c>
      <c r="F70" s="3" t="n">
        <v>1072.25</v>
      </c>
      <c r="G70" s="3" t="n">
        <v>1198.58</v>
      </c>
      <c r="H70" s="3" t="n">
        <v>1350.38</v>
      </c>
      <c r="I70" s="3" t="n">
        <v>1344.17</v>
      </c>
      <c r="J70" s="3" t="n">
        <v>1431.23</v>
      </c>
      <c r="K70" s="3" t="n">
        <v>1535.87</v>
      </c>
      <c r="L70" s="3" t="n">
        <v>1504.99</v>
      </c>
      <c r="M70" s="3" t="n">
        <v>1750.21</v>
      </c>
      <c r="N70" s="21" t="n">
        <f aca="false">(M70/C70)^(1/10)-1</f>
        <v>0.0177348249960094</v>
      </c>
      <c r="O70" s="21" t="n">
        <f aca="false">(1+N70)/(1+WPI!$J$5)-1</f>
        <v>-0.0124340555876249</v>
      </c>
      <c r="P70" s="3" t="str">
        <f aca="false">IF(O70&gt;0,"Yes","No")</f>
        <v>No</v>
      </c>
      <c r="Q70" s="21" t="n">
        <f aca="false">M70/L70-1</f>
        <v>0.162937959720663</v>
      </c>
    </row>
    <row r="71" customFormat="false" ht="15" hidden="false" customHeight="true" outlineLevel="0" collapsed="false">
      <c r="A71" s="3" t="s">
        <v>129</v>
      </c>
      <c r="B71" s="3" t="s">
        <v>108</v>
      </c>
      <c r="C71" s="3" t="n">
        <v>1343.28</v>
      </c>
      <c r="D71" s="3" t="n">
        <v>1538.53</v>
      </c>
      <c r="E71" s="3" t="n">
        <v>2054.19</v>
      </c>
      <c r="F71" s="3" t="n">
        <v>2797.12</v>
      </c>
      <c r="G71" s="3" t="n">
        <v>3738.12</v>
      </c>
      <c r="H71" s="3" t="n">
        <v>4467.62</v>
      </c>
      <c r="I71" s="3" t="n">
        <v>6933.62</v>
      </c>
      <c r="J71" s="3" t="n">
        <v>5333.52</v>
      </c>
      <c r="K71" s="3" t="n">
        <v>5199.6</v>
      </c>
      <c r="L71" s="3" t="n">
        <v>6455.88</v>
      </c>
      <c r="M71" s="3" t="n">
        <v>6775.11</v>
      </c>
      <c r="N71" s="21" t="n">
        <f aca="false">(M71/C71)^(1/10)-1</f>
        <v>0.175641694910018</v>
      </c>
      <c r="O71" s="21" t="n">
        <f aca="false">(1+N71)/(1+WPI!$J$5)-1</f>
        <v>0.140791955044802</v>
      </c>
      <c r="P71" s="3" t="str">
        <f aca="false">IF(O71&gt;0,"Yes","No")</f>
        <v>Yes</v>
      </c>
      <c r="Q71" s="21" t="n">
        <f aca="false">M71/L71-1</f>
        <v>0.0494479451290915</v>
      </c>
    </row>
    <row r="72" customFormat="false" ht="15" hidden="false" customHeight="true" outlineLevel="0" collapsed="false">
      <c r="A72" s="3" t="s">
        <v>247</v>
      </c>
      <c r="B72" s="3" t="s">
        <v>108</v>
      </c>
      <c r="C72" s="3" t="n">
        <v>535.42</v>
      </c>
      <c r="D72" s="3" t="n">
        <v>503.35</v>
      </c>
      <c r="E72" s="3" t="n">
        <v>706.31</v>
      </c>
      <c r="F72" s="3" t="n">
        <v>662.61</v>
      </c>
      <c r="G72" s="3" t="n">
        <v>832.69</v>
      </c>
      <c r="H72" s="3" t="n">
        <v>860.2</v>
      </c>
      <c r="I72" s="3" t="n">
        <v>918.64</v>
      </c>
      <c r="J72" s="3" t="n">
        <v>1019.67</v>
      </c>
      <c r="K72" s="3" t="n">
        <v>1280.24</v>
      </c>
      <c r="L72" s="3" t="n">
        <v>1562.03</v>
      </c>
      <c r="M72" s="3" t="n">
        <v>1457.27</v>
      </c>
      <c r="N72" s="21" t="n">
        <f aca="false">(M72/C72)^(1/10)-1</f>
        <v>0.105311130684338</v>
      </c>
      <c r="O72" s="21" t="n">
        <f aca="false">(1+N72)/(1+WPI!$J$5)-1</f>
        <v>0.0725462112864899</v>
      </c>
      <c r="P72" s="3" t="str">
        <f aca="false">IF(O72&gt;0,"Yes","No")</f>
        <v>Yes</v>
      </c>
      <c r="Q72" s="21" t="n">
        <f aca="false">M72/L72-1</f>
        <v>-0.0670665736253465</v>
      </c>
    </row>
    <row r="73" customFormat="false" ht="15" hidden="false" customHeight="true" outlineLevel="0" collapsed="false">
      <c r="A73" s="3" t="s">
        <v>248</v>
      </c>
      <c r="B73" s="3" t="s">
        <v>105</v>
      </c>
      <c r="C73" s="3" t="n">
        <v>18.07</v>
      </c>
      <c r="D73" s="3" t="n">
        <v>19.3</v>
      </c>
      <c r="E73" s="3" t="n">
        <v>31.77</v>
      </c>
      <c r="F73" s="3" t="n">
        <v>31.23</v>
      </c>
      <c r="G73" s="3" t="n">
        <v>36.88</v>
      </c>
      <c r="H73" s="3" t="n">
        <v>38.78</v>
      </c>
      <c r="I73" s="3" t="n">
        <v>27.51</v>
      </c>
      <c r="J73" s="3" t="n">
        <v>51.41</v>
      </c>
      <c r="K73" s="3" t="n">
        <v>57.65</v>
      </c>
      <c r="L73" s="3" t="n">
        <v>52.92</v>
      </c>
      <c r="M73" s="3" t="n">
        <v>51.16</v>
      </c>
      <c r="N73" s="21" t="n">
        <f aca="false">(M73/C73)^(1/10)-1</f>
        <v>0.109678670313146</v>
      </c>
      <c r="O73" s="21" t="n">
        <f aca="false">(1+N73)/(1+WPI!$J$5)-1</f>
        <v>0.0767842832206984</v>
      </c>
      <c r="P73" s="3" t="str">
        <f aca="false">IF(O73&gt;0,"Yes","No")</f>
        <v>Yes</v>
      </c>
      <c r="Q73" s="21" t="n">
        <f aca="false">M73/L73-1</f>
        <v>-0.0332577475434619</v>
      </c>
    </row>
    <row r="74" customFormat="false" ht="15" hidden="false" customHeight="true" outlineLevel="0" collapsed="false">
      <c r="A74" s="3" t="s">
        <v>249</v>
      </c>
      <c r="B74" s="3" t="s">
        <v>107</v>
      </c>
      <c r="C74" s="3" t="n">
        <v>380.44</v>
      </c>
      <c r="D74" s="3" t="n">
        <v>416.65</v>
      </c>
      <c r="E74" s="3" t="n">
        <v>499.46</v>
      </c>
      <c r="F74" s="3" t="n">
        <v>525.54</v>
      </c>
      <c r="G74" s="3" t="n">
        <v>620.63</v>
      </c>
      <c r="H74" s="3" t="n">
        <v>423.37</v>
      </c>
      <c r="I74" s="3" t="n">
        <v>638.77</v>
      </c>
      <c r="J74" s="3" t="n">
        <v>764.35</v>
      </c>
      <c r="K74" s="3" t="n">
        <v>979.8</v>
      </c>
      <c r="L74" s="3" t="n">
        <v>1645.59</v>
      </c>
      <c r="M74" s="3" t="n">
        <v>1863.51</v>
      </c>
      <c r="N74" s="21" t="n">
        <f aca="false">(M74/C74)^(1/10)-1</f>
        <v>0.172207661164971</v>
      </c>
      <c r="O74" s="21" t="n">
        <f aca="false">(1+N74)/(1+WPI!$J$5)-1</f>
        <v>0.13745971692611</v>
      </c>
      <c r="P74" s="3" t="str">
        <f aca="false">IF(O74&gt;0,"Yes","No")</f>
        <v>Yes</v>
      </c>
      <c r="Q74" s="21" t="n">
        <f aca="false">M74/L74-1</f>
        <v>0.132426667638962</v>
      </c>
    </row>
    <row r="75" customFormat="false" ht="15" hidden="false" customHeight="true" outlineLevel="0" collapsed="false">
      <c r="A75" s="3" t="s">
        <v>250</v>
      </c>
      <c r="B75" s="3" t="s">
        <v>108</v>
      </c>
      <c r="C75" s="3" t="n">
        <v>540.06</v>
      </c>
      <c r="D75" s="3" t="n">
        <v>1024.72</v>
      </c>
      <c r="E75" s="3" t="n">
        <v>1325.58</v>
      </c>
      <c r="F75" s="3" t="n">
        <v>1100.34</v>
      </c>
      <c r="G75" s="3" t="n">
        <v>958.56</v>
      </c>
      <c r="H75" s="3" t="n">
        <v>666.3</v>
      </c>
      <c r="I75" s="3" t="n">
        <v>652.77</v>
      </c>
      <c r="J75" s="3" t="n">
        <v>690.61</v>
      </c>
      <c r="K75" s="3" t="n">
        <v>730.93</v>
      </c>
      <c r="L75" s="3" t="n">
        <v>724.08</v>
      </c>
      <c r="M75" s="3" t="n">
        <v>751.84</v>
      </c>
      <c r="N75" s="21" t="n">
        <f aca="false">(M75/C75)^(1/10)-1</f>
        <v>0.0336377012884479</v>
      </c>
      <c r="O75" s="21" t="n">
        <f aca="false">(1+N75)/(1+WPI!$J$5)-1</f>
        <v>0.00299740913077717</v>
      </c>
      <c r="P75" s="3" t="str">
        <f aca="false">IF(O75&gt;0,"Yes","No")</f>
        <v>Yes</v>
      </c>
      <c r="Q75" s="21" t="n">
        <f aca="false">M75/L75-1</f>
        <v>0.0383383051596509</v>
      </c>
    </row>
    <row r="76" customFormat="false" ht="15" hidden="false" customHeight="true" outlineLevel="0" collapsed="false">
      <c r="A76" s="3" t="s">
        <v>251</v>
      </c>
      <c r="B76" s="3" t="s">
        <v>107</v>
      </c>
      <c r="C76" s="3" t="n">
        <v>402.31</v>
      </c>
      <c r="D76" s="3" t="n">
        <v>457.99</v>
      </c>
      <c r="E76" s="3" t="n">
        <v>540.21</v>
      </c>
      <c r="F76" s="3" t="n">
        <v>611.86</v>
      </c>
      <c r="G76" s="3" t="n">
        <v>685.14</v>
      </c>
      <c r="H76" s="3" t="n">
        <v>807.78</v>
      </c>
      <c r="I76" s="3" t="n">
        <v>920.66</v>
      </c>
      <c r="J76" s="3" t="n">
        <v>999.4</v>
      </c>
      <c r="K76" s="3" t="n">
        <v>967.15</v>
      </c>
      <c r="L76" s="3" t="n">
        <v>892.72</v>
      </c>
      <c r="M76" s="3" t="n">
        <v>982.5</v>
      </c>
      <c r="N76" s="21" t="n">
        <f aca="false">(M76/C76)^(1/10)-1</f>
        <v>0.0933952254865744</v>
      </c>
      <c r="O76" s="21" t="n">
        <f aca="false">(1+N76)/(1+WPI!$J$5)-1</f>
        <v>0.0609835312237297</v>
      </c>
      <c r="P76" s="3" t="str">
        <f aca="false">IF(O76&gt;0,"Yes","No")</f>
        <v>Yes</v>
      </c>
      <c r="Q76" s="21" t="n">
        <f aca="false">M76/L76-1</f>
        <v>0.100569047405682</v>
      </c>
    </row>
    <row r="77" customFormat="false" ht="15" hidden="false" customHeight="true" outlineLevel="0" collapsed="false">
      <c r="A77" s="3" t="s">
        <v>137</v>
      </c>
      <c r="B77" s="3" t="s">
        <v>108</v>
      </c>
      <c r="C77" s="3" t="n">
        <v>1588.75</v>
      </c>
      <c r="D77" s="3" t="n">
        <v>1878.7</v>
      </c>
      <c r="E77" s="3" t="n">
        <v>2318.5</v>
      </c>
      <c r="F77" s="3" t="n">
        <v>2763.49</v>
      </c>
      <c r="G77" s="3" t="n">
        <v>3213.8</v>
      </c>
      <c r="H77" s="3" t="n">
        <v>3079.89</v>
      </c>
      <c r="I77" s="3" t="n">
        <v>2798.74</v>
      </c>
      <c r="J77" s="3" t="n">
        <v>3090.72</v>
      </c>
      <c r="K77" s="3" t="n">
        <v>3164.47</v>
      </c>
      <c r="L77" s="3" t="n">
        <v>3577.94</v>
      </c>
      <c r="M77" s="3" t="n">
        <v>4302.75</v>
      </c>
      <c r="N77" s="21" t="n">
        <f aca="false">(M77/C77)^(1/10)-1</f>
        <v>0.104762832779751</v>
      </c>
      <c r="O77" s="21" t="n">
        <f aca="false">(1+N77)/(1+WPI!$J$5)-1</f>
        <v>0.0720141666667482</v>
      </c>
      <c r="P77" s="3" t="str">
        <f aca="false">IF(O77&gt;0,"Yes","No")</f>
        <v>Yes</v>
      </c>
      <c r="Q77" s="21" t="n">
        <f aca="false">M77/L77-1</f>
        <v>0.202577460773518</v>
      </c>
    </row>
    <row r="78" customFormat="false" ht="15" hidden="false" customHeight="true" outlineLevel="0" collapsed="false">
      <c r="A78" s="3" t="s">
        <v>252</v>
      </c>
      <c r="B78" s="3" t="s">
        <v>105</v>
      </c>
      <c r="C78" s="3" t="n">
        <v>4.92</v>
      </c>
      <c r="D78" s="3" t="n">
        <v>8.18</v>
      </c>
      <c r="E78" s="3" t="n">
        <v>5.36</v>
      </c>
      <c r="F78" s="3" t="n">
        <v>11.76</v>
      </c>
      <c r="G78" s="3" t="n">
        <v>7.34</v>
      </c>
      <c r="H78" s="3" t="n">
        <v>7.54</v>
      </c>
      <c r="I78" s="3" t="n">
        <v>7.1</v>
      </c>
      <c r="J78" s="3" t="n">
        <v>6.44</v>
      </c>
      <c r="K78" s="3" t="n">
        <v>6.9</v>
      </c>
      <c r="L78" s="3" t="n">
        <v>9.09</v>
      </c>
      <c r="M78" s="3" t="n">
        <v>14.83</v>
      </c>
      <c r="N78" s="21" t="n">
        <f aca="false">(M78/C78)^(1/10)-1</f>
        <v>0.116651374463239</v>
      </c>
      <c r="O78" s="21" t="n">
        <f aca="false">(1+N78)/(1+WPI!$J$5)-1</f>
        <v>0.0835502943563804</v>
      </c>
      <c r="P78" s="3" t="str">
        <f aca="false">IF(O78&gt;0,"Yes","No")</f>
        <v>Yes</v>
      </c>
      <c r="Q78" s="21" t="n">
        <f aca="false">M78/L78-1</f>
        <v>0.631463146314631</v>
      </c>
    </row>
    <row r="79" customFormat="false" ht="15" hidden="false" customHeight="true" outlineLevel="0" collapsed="false">
      <c r="A79" s="3" t="s">
        <v>253</v>
      </c>
      <c r="B79" s="3" t="s">
        <v>108</v>
      </c>
      <c r="C79" s="3" t="n">
        <v>675.91</v>
      </c>
      <c r="D79" s="3" t="n">
        <v>727.61</v>
      </c>
      <c r="E79" s="3" t="n">
        <v>539.58</v>
      </c>
      <c r="F79" s="3" t="n">
        <v>681.02</v>
      </c>
      <c r="G79" s="3" t="n">
        <v>806.06</v>
      </c>
      <c r="H79" s="3" t="n">
        <v>871.03</v>
      </c>
      <c r="I79" s="3" t="n">
        <v>965.65</v>
      </c>
      <c r="J79" s="3" t="n">
        <v>1158.9</v>
      </c>
      <c r="K79" s="3" t="n">
        <v>1223.62</v>
      </c>
      <c r="L79" s="3" t="n">
        <v>1452.08</v>
      </c>
      <c r="M79" s="3" t="n">
        <v>1588.31</v>
      </c>
      <c r="N79" s="21" t="n">
        <f aca="false">(M79/C79)^(1/10)-1</f>
        <v>0.0891924940874194</v>
      </c>
      <c r="O79" s="21" t="n">
        <f aca="false">(1+N79)/(1+WPI!$J$5)-1</f>
        <v>0.0569053820817522</v>
      </c>
      <c r="P79" s="3" t="str">
        <f aca="false">IF(O79&gt;0,"Yes","No")</f>
        <v>Yes</v>
      </c>
      <c r="Q79" s="21" t="n">
        <f aca="false">M79/L79-1</f>
        <v>0.0938171450608782</v>
      </c>
    </row>
    <row r="80" customFormat="false" ht="15" hidden="false" customHeight="true" outlineLevel="0" collapsed="false">
      <c r="A80" s="3" t="s">
        <v>254</v>
      </c>
      <c r="B80" s="3" t="s">
        <v>106</v>
      </c>
      <c r="C80" s="3" t="n">
        <v>50.94</v>
      </c>
      <c r="D80" s="3" t="n">
        <v>47.36</v>
      </c>
      <c r="E80" s="3" t="n">
        <v>53.46</v>
      </c>
      <c r="F80" s="3" t="n">
        <v>29.56</v>
      </c>
      <c r="G80" s="3" t="n">
        <v>31.62</v>
      </c>
      <c r="H80" s="3" t="n">
        <v>54.45</v>
      </c>
      <c r="I80" s="3" t="n">
        <v>98.11</v>
      </c>
      <c r="J80" s="3" t="n">
        <v>101.2</v>
      </c>
      <c r="K80" s="3" t="n">
        <v>136.12</v>
      </c>
      <c r="L80" s="3" t="n">
        <v>117.59</v>
      </c>
      <c r="M80" s="3" t="n">
        <v>131.41</v>
      </c>
      <c r="N80" s="21" t="n">
        <f aca="false">(M80/C80)^(1/10)-1</f>
        <v>0.0994030753185424</v>
      </c>
      <c r="O80" s="21" t="n">
        <f aca="false">(1+N80)/(1+WPI!$J$5)-1</f>
        <v>0.0668132893763196</v>
      </c>
      <c r="P80" s="3" t="str">
        <f aca="false">IF(O80&gt;0,"Yes","No")</f>
        <v>Yes</v>
      </c>
      <c r="Q80" s="21" t="n">
        <f aca="false">M80/L80-1</f>
        <v>0.117527000595289</v>
      </c>
    </row>
    <row r="81" customFormat="false" ht="15" hidden="false" customHeight="true" outlineLevel="0" collapsed="false">
      <c r="A81" s="3" t="s">
        <v>255</v>
      </c>
      <c r="B81" s="3" t="s">
        <v>107</v>
      </c>
      <c r="C81" s="3" t="n">
        <v>142.22</v>
      </c>
      <c r="D81" s="3" t="n">
        <v>163.89</v>
      </c>
      <c r="E81" s="3" t="n">
        <v>179.31</v>
      </c>
      <c r="F81" s="3" t="n">
        <v>168.95</v>
      </c>
      <c r="G81" s="3" t="n">
        <v>144.62</v>
      </c>
      <c r="H81" s="3" t="n">
        <v>138.35</v>
      </c>
      <c r="I81" s="3" t="n">
        <v>143.72</v>
      </c>
      <c r="J81" s="3" t="n">
        <v>145.07</v>
      </c>
      <c r="K81" s="3" t="n">
        <v>126.6</v>
      </c>
      <c r="L81" s="3" t="n">
        <v>166.83</v>
      </c>
      <c r="M81" s="3" t="n">
        <v>158.57</v>
      </c>
      <c r="N81" s="21" t="n">
        <f aca="false">(M81/C81)^(1/10)-1</f>
        <v>0.0109415235669843</v>
      </c>
      <c r="O81" s="21" t="n">
        <f aca="false">(1+N81)/(1+WPI!$J$5)-1</f>
        <v>-0.0190259820665675</v>
      </c>
      <c r="P81" s="3" t="str">
        <f aca="false">IF(O81&gt;0,"Yes","No")</f>
        <v>No</v>
      </c>
      <c r="Q81" s="21" t="n">
        <f aca="false">M81/L81-1</f>
        <v>-0.0495114787508243</v>
      </c>
    </row>
    <row r="82" customFormat="false" ht="15" hidden="false" customHeight="true" outlineLevel="0" collapsed="false">
      <c r="A82" s="3" t="s">
        <v>256</v>
      </c>
      <c r="B82" s="3" t="s">
        <v>105</v>
      </c>
      <c r="C82" s="3" t="n">
        <v>11.43</v>
      </c>
      <c r="D82" s="3" t="n">
        <v>57.27</v>
      </c>
      <c r="E82" s="3" t="n">
        <v>60.68</v>
      </c>
      <c r="F82" s="3" t="n">
        <v>70.43</v>
      </c>
      <c r="G82" s="3" t="n">
        <v>77.38</v>
      </c>
      <c r="H82" s="3" t="n">
        <v>86.34</v>
      </c>
      <c r="I82" s="3" t="n">
        <v>94.3</v>
      </c>
      <c r="J82" s="3" t="n">
        <v>104.52</v>
      </c>
      <c r="K82" s="3" t="n">
        <v>114.32</v>
      </c>
      <c r="L82" s="3" t="n">
        <v>122.05</v>
      </c>
      <c r="M82" s="3" t="n">
        <v>118.04</v>
      </c>
      <c r="N82" s="21" t="n">
        <f aca="false">(M82/C82)^(1/10)-1</f>
        <v>0.262985303638724</v>
      </c>
      <c r="O82" s="21" t="n">
        <f aca="false">(1+N82)/(1+WPI!$J$5)-1</f>
        <v>0.22554642283349</v>
      </c>
      <c r="P82" s="3" t="str">
        <f aca="false">IF(O82&gt;0,"Yes","No")</f>
        <v>Yes</v>
      </c>
      <c r="Q82" s="21" t="n">
        <f aca="false">M82/L82-1</f>
        <v>-0.0328553871364194</v>
      </c>
    </row>
    <row r="83" customFormat="false" ht="15" hidden="false" customHeight="true" outlineLevel="0" collapsed="false">
      <c r="A83" s="3" t="s">
        <v>257</v>
      </c>
      <c r="B83" s="3" t="s">
        <v>108</v>
      </c>
      <c r="C83" s="3" t="n">
        <v>535.59</v>
      </c>
      <c r="D83" s="3" t="n">
        <v>414.03</v>
      </c>
      <c r="E83" s="3" t="n">
        <v>1093.31</v>
      </c>
      <c r="F83" s="3" t="n">
        <v>947.71</v>
      </c>
      <c r="G83" s="3" t="n">
        <v>932.76</v>
      </c>
      <c r="H83" s="3" t="n">
        <v>866.36</v>
      </c>
      <c r="I83" s="3" t="n">
        <v>303.18</v>
      </c>
      <c r="J83" s="3" t="n">
        <v>308.51</v>
      </c>
      <c r="K83" s="3" t="n">
        <v>380.38</v>
      </c>
      <c r="L83" s="3" t="n">
        <v>322.96</v>
      </c>
      <c r="M83" s="3" t="n">
        <v>300.31</v>
      </c>
      <c r="N83" s="21" t="n">
        <f aca="false">(M83/C83)^(1/10)-1</f>
        <v>-0.0562135596306861</v>
      </c>
      <c r="O83" s="21" t="n">
        <f aca="false">(1+N83)/(1+WPI!$J$5)-1</f>
        <v>-0.084190376102567</v>
      </c>
      <c r="P83" s="3" t="str">
        <f aca="false">IF(O83&gt;0,"Yes","No")</f>
        <v>No</v>
      </c>
      <c r="Q83" s="21" t="n">
        <f aca="false">M83/L83-1</f>
        <v>-0.0701325241515977</v>
      </c>
    </row>
    <row r="84" customFormat="false" ht="15" hidden="false" customHeight="true" outlineLevel="0" collapsed="false">
      <c r="A84" s="3" t="s">
        <v>258</v>
      </c>
      <c r="B84" s="3" t="s">
        <v>107</v>
      </c>
      <c r="C84" s="3" t="n">
        <v>212.03</v>
      </c>
      <c r="D84" s="3" t="n">
        <v>207.4</v>
      </c>
      <c r="E84" s="3" t="n">
        <v>230.89</v>
      </c>
      <c r="F84" s="3" t="n">
        <v>223.58</v>
      </c>
      <c r="G84" s="3" t="n">
        <v>241.59</v>
      </c>
      <c r="H84" s="3" t="n">
        <v>247.24</v>
      </c>
      <c r="I84" s="3" t="n">
        <v>326.92</v>
      </c>
      <c r="J84" s="3" t="n">
        <v>386.27</v>
      </c>
      <c r="K84" s="3" t="n">
        <v>353.83</v>
      </c>
      <c r="L84" s="3" t="n">
        <v>360.36</v>
      </c>
      <c r="M84" s="3" t="n">
        <v>432.15</v>
      </c>
      <c r="N84" s="21" t="n">
        <f aca="false">(M84/C84)^(1/10)-1</f>
        <v>0.0738007931133613</v>
      </c>
      <c r="O84" s="21" t="n">
        <f aca="false">(1+N84)/(1+WPI!$J$5)-1</f>
        <v>0.0419699398278055</v>
      </c>
      <c r="P84" s="3" t="str">
        <f aca="false">IF(O84&gt;0,"Yes","No")</f>
        <v>Yes</v>
      </c>
      <c r="Q84" s="21" t="n">
        <f aca="false">M84/L84-1</f>
        <v>0.199217449217449</v>
      </c>
    </row>
    <row r="85" customFormat="false" ht="15" hidden="false" customHeight="true" outlineLevel="0" collapsed="false">
      <c r="A85" s="3" t="s">
        <v>259</v>
      </c>
      <c r="B85" s="3" t="s">
        <v>107</v>
      </c>
      <c r="C85" s="3" t="n">
        <v>142.65</v>
      </c>
      <c r="D85" s="3" t="n">
        <v>63.93</v>
      </c>
      <c r="E85" s="3" t="n">
        <v>20.75</v>
      </c>
      <c r="F85" s="3" t="n">
        <v>31.99</v>
      </c>
      <c r="G85" s="3" t="n">
        <v>14.22</v>
      </c>
      <c r="H85" s="3" t="n">
        <v>18.44</v>
      </c>
      <c r="I85" s="3" t="n">
        <v>20.82</v>
      </c>
      <c r="J85" s="3" t="n">
        <v>27.16</v>
      </c>
      <c r="K85" s="3" t="n">
        <v>49.77</v>
      </c>
      <c r="L85" s="3" t="n">
        <v>95.57</v>
      </c>
      <c r="M85" s="3" t="n">
        <v>57.02</v>
      </c>
      <c r="N85" s="21" t="n">
        <f aca="false">(M85/C85)^(1/10)-1</f>
        <v>-0.0876204474263973</v>
      </c>
      <c r="O85" s="21" t="n">
        <f aca="false">(1+N85)/(1+WPI!$J$5)-1</f>
        <v>-0.114666264364666</v>
      </c>
      <c r="P85" s="3" t="str">
        <f aca="false">IF(O85&gt;0,"Yes","No")</f>
        <v>No</v>
      </c>
      <c r="Q85" s="21" t="n">
        <f aca="false">M85/L85-1</f>
        <v>-0.403369258135398</v>
      </c>
    </row>
    <row r="86" customFormat="false" ht="15" hidden="false" customHeight="true" outlineLevel="0" collapsed="false">
      <c r="A86" s="3" t="s">
        <v>140</v>
      </c>
      <c r="B86" s="3" t="s">
        <v>107</v>
      </c>
      <c r="C86" s="3" t="n">
        <v>187.32</v>
      </c>
      <c r="D86" s="3" t="n">
        <v>261.48</v>
      </c>
      <c r="E86" s="3" t="n">
        <v>427.64</v>
      </c>
      <c r="F86" s="3" t="n">
        <v>689.99</v>
      </c>
      <c r="G86" s="3" t="n">
        <v>1126.13</v>
      </c>
      <c r="H86" s="3" t="n">
        <v>1312.11</v>
      </c>
      <c r="I86" s="3" t="n">
        <v>1743.84</v>
      </c>
      <c r="J86" s="3" t="n">
        <v>1836.21</v>
      </c>
      <c r="K86" s="3" t="n">
        <v>1893.42</v>
      </c>
      <c r="L86" s="3" t="n">
        <v>2074.07</v>
      </c>
      <c r="M86" s="3" t="n">
        <v>2645.15</v>
      </c>
      <c r="N86" s="21" t="n">
        <f aca="false">(M86/C86)^(1/10)-1</f>
        <v>0.303126617061042</v>
      </c>
      <c r="O86" s="21" t="n">
        <f aca="false">(1+N86)/(1+WPI!$J$5)-1</f>
        <v>0.264497820708687</v>
      </c>
      <c r="P86" s="3" t="str">
        <f aca="false">IF(O86&gt;0,"Yes","No")</f>
        <v>Yes</v>
      </c>
      <c r="Q86" s="21" t="n">
        <f aca="false">M86/L86-1</f>
        <v>0.275342683708843</v>
      </c>
    </row>
    <row r="87" customFormat="false" ht="15" hidden="false" customHeight="true" outlineLevel="0" collapsed="false">
      <c r="A87" s="3" t="s">
        <v>260</v>
      </c>
      <c r="B87" s="3" t="s">
        <v>106</v>
      </c>
      <c r="C87" s="3" t="n">
        <v>74.51</v>
      </c>
      <c r="D87" s="3" t="n">
        <v>88.11</v>
      </c>
      <c r="E87" s="3" t="n">
        <v>123.94</v>
      </c>
      <c r="F87" s="3" t="n">
        <v>167.98</v>
      </c>
      <c r="G87" s="3" t="n">
        <v>221.32</v>
      </c>
      <c r="H87" s="3" t="n">
        <v>165.09</v>
      </c>
      <c r="I87" s="3" t="n">
        <v>187.35</v>
      </c>
      <c r="J87" s="3" t="n">
        <v>201.83</v>
      </c>
      <c r="K87" s="3" t="n">
        <v>209.32</v>
      </c>
      <c r="L87" s="3" t="n">
        <v>233.82</v>
      </c>
      <c r="M87" s="3" t="n">
        <v>321.63</v>
      </c>
      <c r="N87" s="21" t="n">
        <f aca="false">(M87/C87)^(1/10)-1</f>
        <v>0.157481873945198</v>
      </c>
      <c r="O87" s="21" t="n">
        <f aca="false">(1+N87)/(1+WPI!$J$5)-1</f>
        <v>0.123170448635653</v>
      </c>
      <c r="P87" s="3" t="str">
        <f aca="false">IF(O87&gt;0,"Yes","No")</f>
        <v>Yes</v>
      </c>
      <c r="Q87" s="21" t="n">
        <f aca="false">M87/L87-1</f>
        <v>0.375545291249679</v>
      </c>
    </row>
    <row r="88" customFormat="false" ht="15" hidden="false" customHeight="true" outlineLevel="0" collapsed="false">
      <c r="A88" s="3" t="s">
        <v>261</v>
      </c>
      <c r="B88" s="3" t="s">
        <v>107</v>
      </c>
      <c r="C88" s="3" t="n">
        <v>123.22</v>
      </c>
      <c r="D88" s="3" t="n">
        <v>167.11</v>
      </c>
      <c r="E88" s="3" t="n">
        <v>174.32</v>
      </c>
      <c r="F88" s="3" t="n">
        <v>190.82</v>
      </c>
      <c r="G88" s="3" t="n">
        <v>207.32</v>
      </c>
      <c r="H88" s="3" t="n">
        <v>221.64</v>
      </c>
      <c r="I88" s="3" t="n">
        <v>306.55</v>
      </c>
      <c r="J88" s="3" t="n">
        <v>297.82</v>
      </c>
      <c r="K88" s="3" t="n">
        <v>317.49</v>
      </c>
      <c r="L88" s="3" t="n">
        <v>341.09</v>
      </c>
      <c r="M88" s="3" t="n">
        <v>364.39</v>
      </c>
      <c r="N88" s="21" t="n">
        <f aca="false">(M88/C88)^(1/10)-1</f>
        <v>0.11452168934107</v>
      </c>
      <c r="O88" s="21" t="n">
        <f aca="false">(1+N88)/(1+WPI!$J$5)-1</f>
        <v>0.0814837398400956</v>
      </c>
      <c r="P88" s="3" t="str">
        <f aca="false">IF(O88&gt;0,"Yes","No")</f>
        <v>Yes</v>
      </c>
      <c r="Q88" s="21" t="n">
        <f aca="false">M88/L88-1</f>
        <v>0.0683104166055879</v>
      </c>
    </row>
    <row r="89" customFormat="false" ht="15" hidden="false" customHeight="true" outlineLevel="0" collapsed="false">
      <c r="A89" s="3" t="s">
        <v>262</v>
      </c>
      <c r="B89" s="3" t="s">
        <v>105</v>
      </c>
      <c r="C89" s="3" t="n">
        <v>11.8</v>
      </c>
      <c r="D89" s="3" t="n">
        <v>14.43</v>
      </c>
      <c r="E89" s="3" t="n">
        <v>19.17</v>
      </c>
      <c r="F89" s="3" t="n">
        <v>18.06</v>
      </c>
      <c r="G89" s="3" t="n">
        <v>25.94</v>
      </c>
      <c r="H89" s="3" t="n">
        <v>19.06</v>
      </c>
      <c r="I89" s="3" t="n">
        <v>8.47</v>
      </c>
      <c r="J89" s="3" t="n">
        <v>14.03</v>
      </c>
      <c r="K89" s="3" t="n">
        <v>23.96</v>
      </c>
      <c r="L89" s="3" t="n">
        <v>24.5</v>
      </c>
      <c r="M89" s="3" t="n">
        <v>25.47</v>
      </c>
      <c r="N89" s="21" t="n">
        <f aca="false">(M89/C89)^(1/10)-1</f>
        <v>0.079977465620209</v>
      </c>
      <c r="O89" s="21" t="n">
        <f aca="false">(1+N89)/(1+WPI!$J$5)-1</f>
        <v>0.047963516216994</v>
      </c>
      <c r="P89" s="3" t="str">
        <f aca="false">IF(O89&gt;0,"Yes","No")</f>
        <v>Yes</v>
      </c>
      <c r="Q89" s="21" t="n">
        <f aca="false">M89/L89-1</f>
        <v>0.0395918367346939</v>
      </c>
    </row>
    <row r="90" customFormat="false" ht="15" hidden="false" customHeight="true" outlineLevel="0" collapsed="false">
      <c r="A90" s="3" t="s">
        <v>128</v>
      </c>
      <c r="B90" s="3" t="s">
        <v>108</v>
      </c>
      <c r="C90" s="3" t="n">
        <v>3106.72</v>
      </c>
      <c r="D90" s="3" t="n">
        <v>3801.89</v>
      </c>
      <c r="E90" s="3" t="n">
        <v>5216.28</v>
      </c>
      <c r="F90" s="3" t="n">
        <v>6965.47</v>
      </c>
      <c r="G90" s="3" t="n">
        <v>8627.38</v>
      </c>
      <c r="H90" s="3" t="n">
        <v>9328.44</v>
      </c>
      <c r="I90" s="3" t="n">
        <v>10651.51</v>
      </c>
      <c r="J90" s="3" t="n">
        <v>12236.95</v>
      </c>
      <c r="K90" s="3" t="n">
        <v>9596.86</v>
      </c>
      <c r="L90" s="3" t="n">
        <v>10687.16</v>
      </c>
      <c r="M90" s="3" t="n">
        <v>10632.94</v>
      </c>
      <c r="N90" s="21" t="n">
        <f aca="false">(M90/C90)^(1/10)-1</f>
        <v>0.130928438379189</v>
      </c>
      <c r="O90" s="21" t="n">
        <f aca="false">(1+N90)/(1+WPI!$J$5)-1</f>
        <v>0.0974041409216153</v>
      </c>
      <c r="P90" s="3" t="str">
        <f aca="false">IF(O90&gt;0,"Yes","No")</f>
        <v>Yes</v>
      </c>
      <c r="Q90" s="21" t="n">
        <f aca="false">M90/L90-1</f>
        <v>-0.00507337777295369</v>
      </c>
    </row>
    <row r="91" customFormat="false" ht="15" hidden="false" customHeight="true" outlineLevel="0" collapsed="false">
      <c r="A91" s="3" t="s">
        <v>135</v>
      </c>
      <c r="B91" s="3" t="s">
        <v>108</v>
      </c>
      <c r="C91" s="3" t="n">
        <v>903.41</v>
      </c>
      <c r="D91" s="3" t="n">
        <v>1406.86</v>
      </c>
      <c r="E91" s="3" t="n">
        <v>1483.95</v>
      </c>
      <c r="F91" s="3" t="n">
        <v>1929.14</v>
      </c>
      <c r="G91" s="3" t="n">
        <v>2232.93</v>
      </c>
      <c r="H91" s="3" t="n">
        <v>2576.98</v>
      </c>
      <c r="I91" s="3" t="n">
        <v>2998.22</v>
      </c>
      <c r="J91" s="3" t="n">
        <v>3804.64</v>
      </c>
      <c r="K91" s="3" t="n">
        <v>4205.67</v>
      </c>
      <c r="L91" s="3" t="n">
        <v>4680.72</v>
      </c>
      <c r="M91" s="3" t="n">
        <v>4982.05</v>
      </c>
      <c r="N91" s="21" t="n">
        <f aca="false">(M91/C91)^(1/10)-1</f>
        <v>0.186184702296905</v>
      </c>
      <c r="O91" s="21" t="n">
        <f aca="false">(1+N91)/(1+WPI!$J$5)-1</f>
        <v>0.151022434331996</v>
      </c>
      <c r="P91" s="3" t="str">
        <f aca="false">IF(O91&gt;0,"Yes","No")</f>
        <v>Yes</v>
      </c>
      <c r="Q91" s="21" t="n">
        <f aca="false">M91/L91-1</f>
        <v>0.0643768480062896</v>
      </c>
    </row>
    <row r="92" customFormat="false" ht="15" hidden="false" customHeight="true" outlineLevel="0" collapsed="false">
      <c r="A92" s="3" t="s">
        <v>263</v>
      </c>
      <c r="B92" s="3" t="s">
        <v>107</v>
      </c>
      <c r="C92" s="3" t="n">
        <v>188.13</v>
      </c>
      <c r="D92" s="3" t="n">
        <v>196.73</v>
      </c>
      <c r="E92" s="3" t="n">
        <v>186.72</v>
      </c>
      <c r="F92" s="3" t="n">
        <v>220.67</v>
      </c>
      <c r="G92" s="3" t="n">
        <v>240.3</v>
      </c>
      <c r="H92" s="3" t="n">
        <v>251.08</v>
      </c>
      <c r="I92" s="3" t="n">
        <v>287.33</v>
      </c>
      <c r="J92" s="3" t="n">
        <v>317.25</v>
      </c>
      <c r="K92" s="3" t="n">
        <v>326.41</v>
      </c>
      <c r="L92" s="3" t="n">
        <v>431.58</v>
      </c>
      <c r="M92" s="3" t="n">
        <v>436.58</v>
      </c>
      <c r="N92" s="21" t="n">
        <f aca="false">(M92/C92)^(1/10)-1</f>
        <v>0.0878288642047631</v>
      </c>
      <c r="O92" s="21" t="n">
        <f aca="false">(1+N92)/(1+WPI!$J$5)-1</f>
        <v>0.0555821745036882</v>
      </c>
      <c r="P92" s="3" t="str">
        <f aca="false">IF(O92&gt;0,"Yes","No")</f>
        <v>Yes</v>
      </c>
      <c r="Q92" s="21" t="n">
        <f aca="false">M92/L92-1</f>
        <v>0.0115853375967376</v>
      </c>
    </row>
    <row r="93" customFormat="false" ht="15" hidden="false" customHeight="true" outlineLevel="0" collapsed="false">
      <c r="A93" s="3" t="s">
        <v>264</v>
      </c>
      <c r="B93" s="3" t="s">
        <v>106</v>
      </c>
      <c r="C93" s="3" t="n">
        <v>112.29</v>
      </c>
      <c r="D93" s="3" t="n">
        <v>1.2</v>
      </c>
      <c r="E93" s="3" t="n">
        <v>155.69</v>
      </c>
      <c r="F93" s="3" t="n">
        <v>128.21</v>
      </c>
      <c r="G93" s="3" t="n">
        <v>126.15</v>
      </c>
      <c r="H93" s="3" t="n">
        <v>217.28</v>
      </c>
      <c r="I93" s="3" t="n">
        <v>298.07</v>
      </c>
      <c r="J93" s="3" t="n">
        <v>295.18</v>
      </c>
      <c r="K93" s="3" t="n">
        <v>297.93</v>
      </c>
      <c r="L93" s="3" t="n">
        <v>251.6</v>
      </c>
      <c r="M93" s="3" t="n">
        <v>309.66</v>
      </c>
      <c r="N93" s="21" t="n">
        <f aca="false">(M93/C93)^(1/10)-1</f>
        <v>0.106762416089526</v>
      </c>
      <c r="O93" s="21" t="n">
        <f aca="false">(1+N93)/(1+WPI!$J$5)-1</f>
        <v>0.0739544760000332</v>
      </c>
      <c r="P93" s="3" t="str">
        <f aca="false">IF(O93&gt;0,"Yes","No")</f>
        <v>Yes</v>
      </c>
      <c r="Q93" s="21" t="n">
        <f aca="false">M93/L93-1</f>
        <v>0.230763116057234</v>
      </c>
    </row>
    <row r="94" customFormat="false" ht="15" hidden="false" customHeight="true" outlineLevel="0" collapsed="false">
      <c r="A94" s="3" t="s">
        <v>265</v>
      </c>
      <c r="B94" s="3" t="s">
        <v>105</v>
      </c>
      <c r="C94" s="3" t="n">
        <v>27.86</v>
      </c>
      <c r="D94" s="3" t="n">
        <v>27.2</v>
      </c>
      <c r="E94" s="3" t="n">
        <v>36.32</v>
      </c>
      <c r="F94" s="3" t="n">
        <v>46.1</v>
      </c>
      <c r="G94" s="3" t="n">
        <v>66.87</v>
      </c>
      <c r="H94" s="3" t="n">
        <v>73.42</v>
      </c>
      <c r="I94" s="3" t="n">
        <v>106.99</v>
      </c>
      <c r="J94" s="3" t="n">
        <v>105.19</v>
      </c>
      <c r="K94" s="3" t="n">
        <v>148.72</v>
      </c>
      <c r="L94" s="3" t="n">
        <v>111.28</v>
      </c>
      <c r="M94" s="3" t="n">
        <v>138.62</v>
      </c>
      <c r="N94" s="21" t="n">
        <f aca="false">(M94/C94)^(1/10)-1</f>
        <v>0.174044283420057</v>
      </c>
      <c r="O94" s="21" t="n">
        <f aca="false">(1+N94)/(1+WPI!$J$5)-1</f>
        <v>0.139241895886018</v>
      </c>
      <c r="P94" s="3" t="str">
        <f aca="false">IF(O94&gt;0,"Yes","No")</f>
        <v>Yes</v>
      </c>
      <c r="Q94" s="21" t="n">
        <f aca="false">M94/L94-1</f>
        <v>0.24568655643422</v>
      </c>
    </row>
    <row r="95" customFormat="false" ht="15" hidden="false" customHeight="true" outlineLevel="0" collapsed="false">
      <c r="A95" s="3" t="s">
        <v>266</v>
      </c>
      <c r="B95" s="3" t="s">
        <v>106</v>
      </c>
      <c r="C95" s="3" t="n">
        <v>102.14</v>
      </c>
      <c r="D95" s="3" t="n">
        <v>122.97</v>
      </c>
      <c r="E95" s="3" t="n">
        <v>101.53</v>
      </c>
      <c r="F95" s="3" t="n">
        <v>65.05</v>
      </c>
      <c r="G95" s="3" t="n">
        <v>73.59</v>
      </c>
      <c r="H95" s="3" t="n">
        <v>78</v>
      </c>
      <c r="I95" s="3" t="n">
        <v>67.34</v>
      </c>
      <c r="J95" s="3" t="n">
        <v>82.53</v>
      </c>
      <c r="K95" s="3" t="n">
        <v>109.85</v>
      </c>
      <c r="L95" s="3" t="n">
        <v>121.23</v>
      </c>
      <c r="M95" s="3" t="n">
        <v>115.47</v>
      </c>
      <c r="N95" s="21" t="n">
        <f aca="false">(M95/C95)^(1/10)-1</f>
        <v>0.0123421771958616</v>
      </c>
      <c r="O95" s="21" t="n">
        <f aca="false">(1+N95)/(1+WPI!$J$5)-1</f>
        <v>-0.0176668482432729</v>
      </c>
      <c r="P95" s="3" t="str">
        <f aca="false">IF(O95&gt;0,"Yes","No")</f>
        <v>No</v>
      </c>
      <c r="Q95" s="21" t="n">
        <f aca="false">M95/L95-1</f>
        <v>-0.0475129918337046</v>
      </c>
    </row>
    <row r="96" customFormat="false" ht="15" hidden="false" customHeight="true" outlineLevel="0" collapsed="false">
      <c r="A96" s="3" t="s">
        <v>267</v>
      </c>
      <c r="B96" s="3" t="s">
        <v>107</v>
      </c>
      <c r="C96" s="3" t="n">
        <v>200.5</v>
      </c>
      <c r="D96" s="3" t="n">
        <v>182.84</v>
      </c>
      <c r="E96" s="3" t="n">
        <v>203.64</v>
      </c>
      <c r="F96" s="3" t="n">
        <v>246.99</v>
      </c>
      <c r="G96" s="3" t="n">
        <v>289</v>
      </c>
      <c r="H96" s="3" t="n">
        <v>338.61</v>
      </c>
      <c r="I96" s="3" t="n">
        <v>502.43</v>
      </c>
      <c r="J96" s="3" t="n">
        <v>555.97</v>
      </c>
      <c r="K96" s="3" t="n">
        <v>386.3</v>
      </c>
      <c r="L96" s="3" t="n">
        <v>583.99</v>
      </c>
      <c r="M96" s="3" t="n">
        <v>605.65</v>
      </c>
      <c r="N96" s="21" t="n">
        <f aca="false">(M96/C96)^(1/10)-1</f>
        <v>0.11689085363945</v>
      </c>
      <c r="O96" s="21" t="n">
        <f aca="false">(1+N96)/(1+WPI!$J$5)-1</f>
        <v>0.083782674612036</v>
      </c>
      <c r="P96" s="3" t="str">
        <f aca="false">IF(O96&gt;0,"Yes","No")</f>
        <v>Yes</v>
      </c>
      <c r="Q96" s="21" t="n">
        <f aca="false">M96/L96-1</f>
        <v>0.0370896761930855</v>
      </c>
    </row>
    <row r="97" customFormat="false" ht="15" hidden="false" customHeight="true" outlineLevel="0" collapsed="false">
      <c r="A97" s="3" t="s">
        <v>268</v>
      </c>
      <c r="B97" s="3" t="s">
        <v>106</v>
      </c>
      <c r="C97" s="3" t="n">
        <v>41.43</v>
      </c>
      <c r="D97" s="3" t="n">
        <v>51.55</v>
      </c>
      <c r="E97" s="3" t="n">
        <v>52.65</v>
      </c>
      <c r="F97" s="3" t="n">
        <v>69.91</v>
      </c>
      <c r="G97" s="3" t="n">
        <v>79.86</v>
      </c>
      <c r="H97" s="3" t="n">
        <v>108.55</v>
      </c>
      <c r="I97" s="3" t="n">
        <v>96.38</v>
      </c>
      <c r="J97" s="3" t="n">
        <v>105.88</v>
      </c>
      <c r="K97" s="3" t="n">
        <v>116.61</v>
      </c>
      <c r="L97" s="3" t="n">
        <v>153.7</v>
      </c>
      <c r="M97" s="3" t="n">
        <v>203.29</v>
      </c>
      <c r="N97" s="21" t="n">
        <f aca="false">(M97/C97)^(1/10)-1</f>
        <v>0.172411604050288</v>
      </c>
      <c r="O97" s="21" t="n">
        <f aca="false">(1+N97)/(1+WPI!$J$5)-1</f>
        <v>0.13765761429898</v>
      </c>
      <c r="P97" s="3" t="str">
        <f aca="false">IF(O97&gt;0,"Yes","No")</f>
        <v>Yes</v>
      </c>
      <c r="Q97" s="21" t="n">
        <f aca="false">M97/L97-1</f>
        <v>0.322641509433962</v>
      </c>
    </row>
    <row r="98" customFormat="false" ht="15" hidden="false" customHeight="true" outlineLevel="0" collapsed="false">
      <c r="A98" s="3" t="s">
        <v>269</v>
      </c>
      <c r="B98" s="3" t="s">
        <v>107</v>
      </c>
      <c r="C98" s="3" t="n">
        <v>168.25</v>
      </c>
      <c r="D98" s="3" t="n">
        <v>152.56</v>
      </c>
      <c r="E98" s="3" t="n">
        <v>198.64</v>
      </c>
      <c r="F98" s="3" t="n">
        <v>224.83</v>
      </c>
      <c r="G98" s="3" t="n">
        <v>242.2</v>
      </c>
      <c r="H98" s="3" t="n">
        <v>257.5</v>
      </c>
      <c r="I98" s="3" t="n">
        <v>320.5</v>
      </c>
      <c r="J98" s="3" t="n">
        <v>387.58</v>
      </c>
      <c r="K98" s="3" t="n">
        <v>387.9</v>
      </c>
      <c r="L98" s="3" t="n">
        <v>530.2</v>
      </c>
      <c r="M98" s="3" t="n">
        <v>649.74</v>
      </c>
      <c r="N98" s="21" t="n">
        <f aca="false">(M98/C98)^(1/10)-1</f>
        <v>0.144665130098273</v>
      </c>
      <c r="O98" s="21" t="n">
        <f aca="false">(1+N98)/(1+WPI!$J$5)-1</f>
        <v>0.110733633631774</v>
      </c>
      <c r="P98" s="3" t="str">
        <f aca="false">IF(O98&gt;0,"Yes","No")</f>
        <v>Yes</v>
      </c>
      <c r="Q98" s="21" t="n">
        <f aca="false">M98/L98-1</f>
        <v>0.225462089777442</v>
      </c>
    </row>
    <row r="99" customFormat="false" ht="15" hidden="false" customHeight="true" outlineLevel="0" collapsed="false">
      <c r="A99" s="3" t="s">
        <v>270</v>
      </c>
      <c r="B99" s="3" t="s">
        <v>105</v>
      </c>
      <c r="C99" s="3" t="n">
        <v>22.19</v>
      </c>
      <c r="D99" s="3" t="n">
        <v>29.89</v>
      </c>
      <c r="E99" s="3" t="n">
        <v>43.81</v>
      </c>
      <c r="F99" s="3" t="n">
        <v>45.8</v>
      </c>
      <c r="G99" s="3" t="n">
        <v>51.78</v>
      </c>
      <c r="H99" s="3" t="n">
        <v>64.95</v>
      </c>
      <c r="I99" s="3" t="n">
        <v>81.89</v>
      </c>
      <c r="J99" s="3" t="n">
        <v>81.27</v>
      </c>
      <c r="K99" s="3" t="n">
        <v>99.6</v>
      </c>
      <c r="L99" s="3" t="n">
        <v>109.71</v>
      </c>
      <c r="M99" s="3" t="n">
        <v>133.56</v>
      </c>
      <c r="N99" s="21" t="n">
        <f aca="false">(M99/C99)^(1/10)-1</f>
        <v>0.196608024234212</v>
      </c>
      <c r="O99" s="21" t="n">
        <f aca="false">(1+N99)/(1+WPI!$J$5)-1</f>
        <v>0.161136776025051</v>
      </c>
      <c r="P99" s="3" t="str">
        <f aca="false">IF(O99&gt;0,"Yes","No")</f>
        <v>Yes</v>
      </c>
      <c r="Q99" s="21" t="n">
        <f aca="false">M99/L99-1</f>
        <v>0.217391304347826</v>
      </c>
    </row>
    <row r="100" customFormat="false" ht="15" hidden="false" customHeight="true" outlineLevel="0" collapsed="false">
      <c r="A100" s="3" t="s">
        <v>126</v>
      </c>
      <c r="B100" s="3" t="s">
        <v>108</v>
      </c>
      <c r="C100" s="3" t="n">
        <v>1866.58</v>
      </c>
      <c r="D100" s="3" t="n">
        <v>2578.15</v>
      </c>
      <c r="E100" s="3" t="n">
        <v>3848.99</v>
      </c>
      <c r="F100" s="3" t="n">
        <v>5259.02</v>
      </c>
      <c r="G100" s="3" t="n">
        <v>6847.54</v>
      </c>
      <c r="H100" s="3" t="n">
        <v>7767.3</v>
      </c>
      <c r="I100" s="3" t="n">
        <v>8788.68</v>
      </c>
      <c r="J100" s="3" t="n">
        <v>8869.59</v>
      </c>
      <c r="K100" s="3" t="n">
        <v>9108.21</v>
      </c>
      <c r="L100" s="3" t="n">
        <v>10299.63</v>
      </c>
      <c r="M100" s="3" t="n">
        <v>11609.05</v>
      </c>
      <c r="N100" s="21" t="n">
        <f aca="false">(M100/C100)^(1/10)-1</f>
        <v>0.200535501727058</v>
      </c>
      <c r="O100" s="21" t="n">
        <f aca="false">(1+N100)/(1+WPI!$J$5)-1</f>
        <v>0.164947830657475</v>
      </c>
      <c r="P100" s="3" t="str">
        <f aca="false">IF(O100&gt;0,"Yes","No")</f>
        <v>Yes</v>
      </c>
      <c r="Q100" s="21" t="n">
        <f aca="false">M100/L100-1</f>
        <v>0.12713272224342</v>
      </c>
    </row>
    <row r="101" customFormat="false" ht="15" hidden="false" customHeight="true" outlineLevel="0" collapsed="false">
      <c r="A101" s="3" t="s">
        <v>271</v>
      </c>
      <c r="B101" s="3" t="s">
        <v>107</v>
      </c>
      <c r="C101" s="3" t="n">
        <v>272.64</v>
      </c>
      <c r="D101" s="3" t="n">
        <v>311.51</v>
      </c>
      <c r="E101" s="3" t="n">
        <v>403.11</v>
      </c>
      <c r="F101" s="3" t="n">
        <v>509.64</v>
      </c>
      <c r="G101" s="3" t="n">
        <v>585.24</v>
      </c>
      <c r="H101" s="3" t="n">
        <v>685.99</v>
      </c>
      <c r="I101" s="3" t="n">
        <v>1031.5</v>
      </c>
      <c r="J101" s="3" t="n">
        <v>1979.5</v>
      </c>
      <c r="K101" s="3" t="n">
        <v>2067.5</v>
      </c>
      <c r="L101" s="3" t="n">
        <v>1931.7</v>
      </c>
      <c r="M101" s="3" t="n">
        <v>1587.7</v>
      </c>
      <c r="N101" s="21" t="n">
        <f aca="false">(M101/C101)^(1/10)-1</f>
        <v>0.192663386749388</v>
      </c>
      <c r="O101" s="21" t="n">
        <f aca="false">(1+N101)/(1+WPI!$J$5)-1</f>
        <v>0.157309070077109</v>
      </c>
      <c r="P101" s="3" t="str">
        <f aca="false">IF(O101&gt;0,"Yes","No")</f>
        <v>Yes</v>
      </c>
      <c r="Q101" s="21" t="n">
        <f aca="false">M101/L101-1</f>
        <v>-0.178081482631879</v>
      </c>
    </row>
    <row r="102" customFormat="false" ht="15" hidden="false" customHeight="true" outlineLevel="0" collapsed="false">
      <c r="A102" s="3" t="s">
        <v>141</v>
      </c>
      <c r="B102" s="3" t="s">
        <v>108</v>
      </c>
      <c r="C102" s="3" t="n">
        <v>806.57</v>
      </c>
      <c r="D102" s="3" t="n">
        <v>1022.8</v>
      </c>
      <c r="E102" s="3" t="n">
        <v>1265.64</v>
      </c>
      <c r="F102" s="3" t="n">
        <v>1602.09</v>
      </c>
      <c r="G102" s="3" t="n">
        <v>1645.32</v>
      </c>
      <c r="H102" s="3" t="n">
        <v>1678.06</v>
      </c>
      <c r="I102" s="3" t="n">
        <v>1732.78</v>
      </c>
      <c r="J102" s="3" t="n">
        <v>1724.95</v>
      </c>
      <c r="K102" s="3" t="n">
        <v>2070.3</v>
      </c>
      <c r="L102" s="3" t="n">
        <v>3062.58</v>
      </c>
      <c r="M102" s="3" t="n">
        <v>2606.64</v>
      </c>
      <c r="N102" s="21" t="n">
        <f aca="false">(M102/C102)^(1/10)-1</f>
        <v>0.124459710097799</v>
      </c>
      <c r="O102" s="21" t="n">
        <f aca="false">(1+N102)/(1+WPI!$J$5)-1</f>
        <v>0.0911271662151802</v>
      </c>
      <c r="P102" s="3" t="str">
        <f aca="false">IF(O102&gt;0,"Yes","No")</f>
        <v>Yes</v>
      </c>
      <c r="Q102" s="21" t="n">
        <f aca="false">M102/L102-1</f>
        <v>-0.148874478380973</v>
      </c>
    </row>
    <row r="103" customFormat="false" ht="15" hidden="false" customHeight="true" outlineLevel="0" collapsed="false">
      <c r="A103" s="3" t="s">
        <v>272</v>
      </c>
      <c r="B103" s="3" t="s">
        <v>107</v>
      </c>
      <c r="C103" s="3" t="n">
        <v>281.25</v>
      </c>
      <c r="D103" s="3" t="n">
        <v>401.76</v>
      </c>
      <c r="E103" s="3" t="n">
        <v>454.05</v>
      </c>
      <c r="F103" s="3" t="n">
        <v>467.24</v>
      </c>
      <c r="G103" s="3" t="n">
        <v>462.89</v>
      </c>
      <c r="H103" s="3" t="n">
        <v>452.22</v>
      </c>
      <c r="I103" s="3" t="n">
        <v>493.28</v>
      </c>
      <c r="J103" s="3" t="n">
        <v>565.82</v>
      </c>
      <c r="K103" s="3" t="n">
        <v>489.9</v>
      </c>
      <c r="L103" s="3" t="n">
        <v>622.75</v>
      </c>
      <c r="M103" s="3" t="n">
        <v>708.98</v>
      </c>
      <c r="N103" s="21" t="n">
        <f aca="false">(M103/C103)^(1/10)-1</f>
        <v>0.0968674411478083</v>
      </c>
      <c r="O103" s="21" t="n">
        <f aca="false">(1+N103)/(1+WPI!$J$5)-1</f>
        <v>0.064352819425795</v>
      </c>
      <c r="P103" s="3" t="str">
        <f aca="false">IF(O103&gt;0,"Yes","No")</f>
        <v>Yes</v>
      </c>
      <c r="Q103" s="21" t="n">
        <f aca="false">M103/L103-1</f>
        <v>0.138466479325572</v>
      </c>
    </row>
    <row r="104" customFormat="false" ht="15" hidden="false" customHeight="true" outlineLevel="0" collapsed="false">
      <c r="A104" s="3" t="s">
        <v>273</v>
      </c>
      <c r="B104" s="3" t="s">
        <v>108</v>
      </c>
      <c r="C104" s="3" t="n">
        <v>1216.11</v>
      </c>
      <c r="D104" s="3" t="n">
        <v>1579.46</v>
      </c>
      <c r="E104" s="3" t="n">
        <v>1626.44</v>
      </c>
      <c r="F104" s="3" t="n">
        <v>1861.26</v>
      </c>
      <c r="G104" s="3" t="n">
        <v>1861.26</v>
      </c>
      <c r="H104" s="3" t="n">
        <v>1722.11</v>
      </c>
      <c r="I104" s="3" t="n">
        <v>876.66</v>
      </c>
      <c r="J104" s="3" t="n">
        <v>690.98</v>
      </c>
      <c r="K104" s="3" t="n">
        <v>633.11</v>
      </c>
      <c r="L104" s="3" t="n">
        <v>535.86</v>
      </c>
      <c r="M104" s="3" t="n">
        <v>461.73</v>
      </c>
      <c r="N104" s="21" t="n">
        <f aca="false">(M104/C104)^(1/10)-1</f>
        <v>-0.0923016973797668</v>
      </c>
      <c r="O104" s="21" t="n">
        <f aca="false">(1+N104)/(1+WPI!$J$5)-1</f>
        <v>-0.119208747256757</v>
      </c>
      <c r="P104" s="3" t="str">
        <f aca="false">IF(O104&gt;0,"Yes","No")</f>
        <v>No</v>
      </c>
      <c r="Q104" s="21" t="n">
        <f aca="false">M104/L104-1</f>
        <v>-0.138338371962826</v>
      </c>
    </row>
    <row r="105" customFormat="false" ht="15" hidden="false" customHeight="true" outlineLevel="0" collapsed="false">
      <c r="A105" s="3" t="s">
        <v>274</v>
      </c>
      <c r="B105" s="3" t="s">
        <v>108</v>
      </c>
      <c r="C105" s="3" t="n">
        <v>877.77</v>
      </c>
      <c r="D105" s="3" t="n">
        <v>1078.2</v>
      </c>
      <c r="E105" s="3" t="n">
        <v>630.32</v>
      </c>
      <c r="F105" s="3" t="n">
        <v>461.16</v>
      </c>
      <c r="G105" s="3" t="n">
        <v>410.95</v>
      </c>
      <c r="H105" s="3" t="n">
        <v>588.72</v>
      </c>
      <c r="I105" s="3" t="n">
        <v>558.57</v>
      </c>
      <c r="J105" s="3" t="n">
        <v>469.85</v>
      </c>
      <c r="K105" s="3" t="n">
        <v>181.84</v>
      </c>
      <c r="L105" s="3" t="n">
        <v>95.73</v>
      </c>
      <c r="M105" s="3" t="n">
        <v>137.49</v>
      </c>
      <c r="N105" s="21" t="n">
        <f aca="false">(M105/C105)^(1/10)-1</f>
        <v>-0.169214251697551</v>
      </c>
      <c r="O105" s="21" t="n">
        <f aca="false">(1+N105)/(1+WPI!$J$5)-1</f>
        <v>-0.19384137009376</v>
      </c>
      <c r="P105" s="3" t="str">
        <f aca="false">IF(O105&gt;0,"Yes","No")</f>
        <v>No</v>
      </c>
      <c r="Q105" s="21" t="n">
        <f aca="false">M105/L105-1</f>
        <v>0.436226888122846</v>
      </c>
    </row>
    <row r="106" customFormat="false" ht="15" hidden="false" customHeight="true" outlineLevel="0" collapsed="false">
      <c r="A106" s="3" t="s">
        <v>275</v>
      </c>
      <c r="B106" s="3" t="s">
        <v>107</v>
      </c>
      <c r="C106" s="3" t="n">
        <v>299.34</v>
      </c>
      <c r="D106" s="3" t="n">
        <v>379.86</v>
      </c>
      <c r="E106" s="3" t="n">
        <v>218.83</v>
      </c>
      <c r="F106" s="3" t="n">
        <v>180.29</v>
      </c>
      <c r="G106" s="3" t="n">
        <v>180.12</v>
      </c>
      <c r="H106" s="3" t="n">
        <v>172.83</v>
      </c>
      <c r="I106" s="3" t="n">
        <v>139.29</v>
      </c>
      <c r="J106" s="3" t="n">
        <v>34.65</v>
      </c>
      <c r="K106" s="3" t="n">
        <v>13.36</v>
      </c>
      <c r="L106" s="3" t="n">
        <v>12.07</v>
      </c>
      <c r="M106" s="3" t="n">
        <v>7.31</v>
      </c>
      <c r="N106" s="21" t="n">
        <f aca="false">(M106/C106)^(1/10)-1</f>
        <v>-0.310117287507232</v>
      </c>
      <c r="O106" s="21" t="n">
        <f aca="false">(1+N106)/(1+WPI!$J$5)-1</f>
        <v>-0.33056759406915</v>
      </c>
      <c r="P106" s="3" t="str">
        <f aca="false">IF(O106&gt;0,"Yes","No")</f>
        <v>No</v>
      </c>
      <c r="Q106" s="21" t="n">
        <f aca="false">M106/L106-1</f>
        <v>-0.394366197183099</v>
      </c>
    </row>
    <row r="107" customFormat="false" ht="15" hidden="false" customHeight="true" outlineLevel="0" collapsed="false">
      <c r="A107" s="3" t="s">
        <v>276</v>
      </c>
      <c r="B107" s="3" t="s">
        <v>106</v>
      </c>
      <c r="C107" s="3" t="n">
        <v>101.57</v>
      </c>
      <c r="D107" s="3" t="n">
        <v>56.42</v>
      </c>
      <c r="E107" s="3" t="n">
        <v>89.81</v>
      </c>
      <c r="F107" s="3" t="n">
        <v>109.86</v>
      </c>
      <c r="G107" s="3" t="n">
        <v>173.2</v>
      </c>
      <c r="H107" s="3" t="n">
        <v>196.54</v>
      </c>
      <c r="I107" s="3" t="n">
        <v>208.88</v>
      </c>
      <c r="J107" s="3" t="n">
        <v>255.01</v>
      </c>
      <c r="K107" s="3" t="n">
        <v>311.76</v>
      </c>
      <c r="L107" s="3" t="n">
        <v>347.36</v>
      </c>
      <c r="M107" s="3" t="n">
        <v>355.25</v>
      </c>
      <c r="N107" s="21" t="n">
        <f aca="false">(M107/C107)^(1/10)-1</f>
        <v>0.133383441542738</v>
      </c>
      <c r="O107" s="21" t="n">
        <f aca="false">(1+N107)/(1+WPI!$J$5)-1</f>
        <v>0.0997863700231452</v>
      </c>
      <c r="P107" s="3" t="str">
        <f aca="false">IF(O107&gt;0,"Yes","No")</f>
        <v>Yes</v>
      </c>
      <c r="Q107" s="21" t="n">
        <f aca="false">M107/L107-1</f>
        <v>0.0227141870105942</v>
      </c>
    </row>
    <row r="108" customFormat="false" ht="15" hidden="false" customHeight="true" outlineLevel="0" collapsed="false">
      <c r="A108" s="3" t="s">
        <v>277</v>
      </c>
      <c r="B108" s="3" t="s">
        <v>108</v>
      </c>
      <c r="C108" s="3" t="n">
        <v>625.56</v>
      </c>
      <c r="D108" s="3" t="n">
        <v>703.79</v>
      </c>
      <c r="E108" s="3" t="n">
        <v>924.88</v>
      </c>
      <c r="F108" s="3" t="n">
        <v>995.09</v>
      </c>
      <c r="G108" s="3" t="n">
        <v>1057.43</v>
      </c>
      <c r="H108" s="3" t="n">
        <v>1216.58</v>
      </c>
      <c r="I108" s="3" t="n">
        <v>2071.6</v>
      </c>
      <c r="J108" s="3" t="n">
        <v>2017.26</v>
      </c>
      <c r="K108" s="3" t="n">
        <v>1092.55</v>
      </c>
      <c r="L108" s="3" t="n">
        <v>1119.08</v>
      </c>
      <c r="M108" s="3" t="n">
        <v>1100.83</v>
      </c>
      <c r="N108" s="21" t="n">
        <f aca="false">(M108/C108)^(1/10)-1</f>
        <v>0.0581448645886633</v>
      </c>
      <c r="O108" s="21" t="n">
        <f aca="false">(1+N108)/(1+WPI!$J$5)-1</f>
        <v>0.0267781025639027</v>
      </c>
      <c r="P108" s="3" t="str">
        <f aca="false">IF(O108&gt;0,"Yes","No")</f>
        <v>Yes</v>
      </c>
      <c r="Q108" s="21" t="n">
        <f aca="false">M108/L108-1</f>
        <v>-0.0163080387461129</v>
      </c>
    </row>
    <row r="109" customFormat="false" ht="15" hidden="false" customHeight="true" outlineLevel="0" collapsed="false">
      <c r="A109" s="3" t="s">
        <v>278</v>
      </c>
      <c r="B109" s="3" t="s">
        <v>107</v>
      </c>
      <c r="C109" s="3" t="n">
        <v>162.34</v>
      </c>
      <c r="D109" s="3" t="n">
        <v>186.03</v>
      </c>
      <c r="E109" s="3" t="n">
        <v>193.14</v>
      </c>
      <c r="F109" s="3" t="n">
        <v>224.02</v>
      </c>
      <c r="G109" s="3" t="n">
        <v>238.38</v>
      </c>
      <c r="H109" s="3" t="n">
        <v>242.5</v>
      </c>
      <c r="I109" s="3" t="n">
        <v>284.01</v>
      </c>
      <c r="J109" s="3" t="n">
        <v>300.13</v>
      </c>
      <c r="K109" s="3" t="n">
        <v>339.71</v>
      </c>
      <c r="L109" s="3" t="n">
        <v>323.83</v>
      </c>
      <c r="M109" s="3" t="n">
        <v>369.14</v>
      </c>
      <c r="N109" s="21" t="n">
        <f aca="false">(M109/C109)^(1/10)-1</f>
        <v>0.0856168029557436</v>
      </c>
      <c r="O109" s="21" t="n">
        <f aca="false">(1+N109)/(1+WPI!$J$5)-1</f>
        <v>0.0534356857496117</v>
      </c>
      <c r="P109" s="3" t="str">
        <f aca="false">IF(O109&gt;0,"Yes","No")</f>
        <v>Yes</v>
      </c>
      <c r="Q109" s="21" t="n">
        <f aca="false">M109/L109-1</f>
        <v>0.13991909335145</v>
      </c>
    </row>
    <row r="110" customFormat="false" ht="15" hidden="false" customHeight="true" outlineLevel="0" collapsed="false">
      <c r="A110" s="3" t="s">
        <v>279</v>
      </c>
      <c r="B110" s="3" t="s">
        <v>106</v>
      </c>
      <c r="C110" s="3" t="n">
        <v>62.35</v>
      </c>
      <c r="D110" s="3" t="n">
        <v>131.47</v>
      </c>
      <c r="E110" s="3" t="n">
        <v>128.19</v>
      </c>
      <c r="F110" s="3" t="n">
        <v>121.02</v>
      </c>
      <c r="G110" s="3" t="n">
        <v>137.24</v>
      </c>
      <c r="H110" s="3" t="n">
        <v>169.23</v>
      </c>
      <c r="I110" s="3" t="n">
        <v>193.28</v>
      </c>
      <c r="J110" s="3" t="n">
        <v>240.7</v>
      </c>
      <c r="K110" s="3" t="n">
        <v>298.62</v>
      </c>
      <c r="L110" s="3" t="n">
        <v>513.13</v>
      </c>
      <c r="M110" s="3" t="n">
        <v>598.17</v>
      </c>
      <c r="N110" s="21" t="n">
        <f aca="false">(M110/C110)^(1/10)-1</f>
        <v>0.253714985686325</v>
      </c>
      <c r="O110" s="21" t="n">
        <f aca="false">(1+N110)/(1+WPI!$J$5)-1</f>
        <v>0.216550906438833</v>
      </c>
      <c r="P110" s="3" t="str">
        <f aca="false">IF(O110&gt;0,"Yes","No")</f>
        <v>Yes</v>
      </c>
      <c r="Q110" s="21" t="n">
        <f aca="false">M110/L110-1</f>
        <v>0.165727983162162</v>
      </c>
    </row>
    <row r="111" customFormat="false" ht="15" hidden="false" customHeight="true" outlineLevel="0" collapsed="false">
      <c r="A111" s="3" t="s">
        <v>280</v>
      </c>
      <c r="B111" s="3" t="s">
        <v>107</v>
      </c>
      <c r="C111" s="3" t="n">
        <v>233.63</v>
      </c>
      <c r="D111" s="3" t="n">
        <v>244.6</v>
      </c>
      <c r="E111" s="3" t="n">
        <v>222.76</v>
      </c>
      <c r="F111" s="3" t="n">
        <v>250.06</v>
      </c>
      <c r="G111" s="3" t="n">
        <v>500.47</v>
      </c>
      <c r="H111" s="3" t="n">
        <v>555.59</v>
      </c>
      <c r="I111" s="3" t="n">
        <v>580.11</v>
      </c>
      <c r="J111" s="3" t="n">
        <v>412.03</v>
      </c>
      <c r="K111" s="3" t="n">
        <v>436.6</v>
      </c>
      <c r="L111" s="3" t="n">
        <v>448.13</v>
      </c>
      <c r="M111" s="3" t="n">
        <v>433.08</v>
      </c>
      <c r="N111" s="21" t="n">
        <f aca="false">(M111/C111)^(1/10)-1</f>
        <v>0.063662753954423</v>
      </c>
      <c r="O111" s="21" t="n">
        <f aca="false">(1+N111)/(1+WPI!$J$5)-1</f>
        <v>0.0321324242288616</v>
      </c>
      <c r="P111" s="3" t="str">
        <f aca="false">IF(O111&gt;0,"Yes","No")</f>
        <v>Yes</v>
      </c>
      <c r="Q111" s="21" t="n">
        <f aca="false">M111/L111-1</f>
        <v>-0.0335840046415103</v>
      </c>
    </row>
    <row r="112" customFormat="false" ht="15" hidden="false" customHeight="true" outlineLevel="0" collapsed="false">
      <c r="A112" s="3" t="s">
        <v>281</v>
      </c>
      <c r="B112" s="3" t="s">
        <v>106</v>
      </c>
      <c r="C112" s="3" t="n">
        <v>47.97</v>
      </c>
      <c r="D112" s="3" t="n">
        <v>47.55</v>
      </c>
      <c r="E112" s="3" t="n">
        <v>75.06</v>
      </c>
      <c r="F112" s="3" t="n">
        <v>78.28</v>
      </c>
      <c r="G112" s="3" t="n">
        <v>71.41</v>
      </c>
      <c r="H112" s="3" t="n">
        <v>47.34</v>
      </c>
      <c r="I112" s="3" t="n">
        <v>68.17</v>
      </c>
      <c r="J112" s="3" t="n">
        <v>78.59</v>
      </c>
      <c r="K112" s="3" t="n">
        <v>105.27</v>
      </c>
      <c r="L112" s="3" t="n">
        <v>125.33</v>
      </c>
      <c r="M112" s="3" t="n">
        <v>157.07</v>
      </c>
      <c r="N112" s="21" t="n">
        <f aca="false">(M112/C112)^(1/10)-1</f>
        <v>0.125932493050189</v>
      </c>
      <c r="O112" s="21" t="n">
        <f aca="false">(1+N112)/(1+WPI!$J$5)-1</f>
        <v>0.0925562912206028</v>
      </c>
      <c r="P112" s="3" t="str">
        <f aca="false">IF(O112&gt;0,"Yes","No")</f>
        <v>Yes</v>
      </c>
      <c r="Q112" s="21" t="n">
        <f aca="false">M112/L112-1</f>
        <v>0.253251416261071</v>
      </c>
    </row>
    <row r="113" customFormat="false" ht="15" hidden="false" customHeight="true" outlineLevel="0" collapsed="false">
      <c r="A113" s="3" t="s">
        <v>139</v>
      </c>
      <c r="B113" s="3" t="s">
        <v>108</v>
      </c>
      <c r="C113" s="3" t="n">
        <v>934.05</v>
      </c>
      <c r="D113" s="3" t="n">
        <v>1027.5</v>
      </c>
      <c r="E113" s="3" t="n">
        <v>1258.61</v>
      </c>
      <c r="F113" s="3" t="n">
        <v>1533.63</v>
      </c>
      <c r="G113" s="3" t="n">
        <v>1752.45</v>
      </c>
      <c r="H113" s="3" t="n">
        <v>1923.04</v>
      </c>
      <c r="I113" s="3" t="n">
        <v>2099.04</v>
      </c>
      <c r="J113" s="3" t="n">
        <v>2257.3</v>
      </c>
      <c r="K113" s="3" t="n">
        <v>2326.8</v>
      </c>
      <c r="L113" s="3" t="n">
        <v>2594</v>
      </c>
      <c r="M113" s="3" t="n">
        <v>2842.7</v>
      </c>
      <c r="N113" s="21" t="n">
        <f aca="false">(M113/C113)^(1/10)-1</f>
        <v>0.117727896985186</v>
      </c>
      <c r="O113" s="21" t="n">
        <f aca="false">(1+N113)/(1+WPI!$J$5)-1</f>
        <v>0.0845949053443873</v>
      </c>
      <c r="P113" s="3" t="str">
        <f aca="false">IF(O113&gt;0,"Yes","No")</f>
        <v>Yes</v>
      </c>
      <c r="Q113" s="21" t="n">
        <f aca="false">M113/L113-1</f>
        <v>0.0958750963762529</v>
      </c>
    </row>
    <row r="114" customFormat="false" ht="15" hidden="false" customHeight="true" outlineLevel="0" collapsed="false">
      <c r="A114" s="3" t="s">
        <v>282</v>
      </c>
      <c r="B114" s="3" t="s">
        <v>107</v>
      </c>
      <c r="C114" s="3" t="n">
        <v>116.87</v>
      </c>
      <c r="D114" s="3" t="n">
        <v>144.02</v>
      </c>
      <c r="E114" s="3" t="n">
        <v>177.25</v>
      </c>
      <c r="F114" s="3" t="n">
        <v>225.64</v>
      </c>
      <c r="G114" s="3" t="n">
        <v>296.61</v>
      </c>
      <c r="H114" s="3" t="n">
        <v>338.48</v>
      </c>
      <c r="I114" s="3" t="n">
        <v>356.38</v>
      </c>
      <c r="J114" s="3" t="n">
        <v>370.26</v>
      </c>
      <c r="K114" s="3" t="n">
        <v>357.58</v>
      </c>
      <c r="L114" s="3" t="n">
        <v>299.01</v>
      </c>
      <c r="M114" s="3" t="n">
        <v>293.24</v>
      </c>
      <c r="N114" s="21" t="n">
        <f aca="false">(M114/C114)^(1/10)-1</f>
        <v>0.0963570576976267</v>
      </c>
      <c r="O114" s="21" t="n">
        <f aca="false">(1+N114)/(1+WPI!$J$5)-1</f>
        <v>0.0638575653560591</v>
      </c>
      <c r="P114" s="3" t="str">
        <f aca="false">IF(O114&gt;0,"Yes","No")</f>
        <v>Yes</v>
      </c>
      <c r="Q114" s="21" t="n">
        <f aca="false">M114/L114-1</f>
        <v>-0.0192970134778101</v>
      </c>
    </row>
    <row r="115" customFormat="false" ht="15" hidden="false" customHeight="true" outlineLevel="0" collapsed="false">
      <c r="A115" s="3" t="s">
        <v>136</v>
      </c>
      <c r="B115" s="3" t="s">
        <v>108</v>
      </c>
      <c r="C115" s="3" t="n">
        <v>566.9</v>
      </c>
      <c r="D115" s="3" t="n">
        <v>905.07</v>
      </c>
      <c r="E115" s="3" t="n">
        <v>1667.72</v>
      </c>
      <c r="F115" s="3" t="n">
        <v>2464.65</v>
      </c>
      <c r="G115" s="3" t="n">
        <v>3343.12</v>
      </c>
      <c r="H115" s="3" t="n">
        <v>3540.93</v>
      </c>
      <c r="I115" s="3" t="n">
        <v>4160</v>
      </c>
      <c r="J115" s="3" t="n">
        <v>3729</v>
      </c>
      <c r="K115" s="3" t="n">
        <v>3862</v>
      </c>
      <c r="L115" s="3" t="n">
        <v>4820</v>
      </c>
      <c r="M115" s="3" t="n">
        <v>4836</v>
      </c>
      <c r="N115" s="21" t="n">
        <f aca="false">(M115/C115)^(1/10)-1</f>
        <v>0.239076109639015</v>
      </c>
      <c r="O115" s="21" t="n">
        <f aca="false">(1+N115)/(1+WPI!$J$5)-1</f>
        <v>0.202345972998677</v>
      </c>
      <c r="P115" s="3" t="str">
        <f aca="false">IF(O115&gt;0,"Yes","No")</f>
        <v>Yes</v>
      </c>
      <c r="Q115" s="21" t="n">
        <f aca="false">M115/L115-1</f>
        <v>0.00331950207468879</v>
      </c>
    </row>
    <row r="116" customFormat="false" ht="15" hidden="false" customHeight="true" outlineLevel="0" collapsed="false">
      <c r="A116" s="3" t="s">
        <v>283</v>
      </c>
      <c r="B116" s="3" t="s">
        <v>107</v>
      </c>
      <c r="C116" s="3" t="n">
        <v>237.43</v>
      </c>
      <c r="D116" s="3" t="n">
        <v>261.11</v>
      </c>
      <c r="E116" s="3" t="n">
        <v>275.36</v>
      </c>
      <c r="F116" s="3" t="n">
        <v>328.71</v>
      </c>
      <c r="G116" s="3" t="n">
        <v>501.59</v>
      </c>
      <c r="H116" s="3" t="n">
        <v>526.96</v>
      </c>
      <c r="I116" s="3" t="n">
        <v>587.36</v>
      </c>
      <c r="J116" s="3" t="n">
        <v>660.64</v>
      </c>
      <c r="K116" s="3" t="n">
        <v>674.37</v>
      </c>
      <c r="L116" s="3" t="n">
        <v>608</v>
      </c>
      <c r="M116" s="3" t="n">
        <v>692.95</v>
      </c>
      <c r="N116" s="21" t="n">
        <f aca="false">(M116/C116)^(1/10)-1</f>
        <v>0.113055014767208</v>
      </c>
      <c r="O116" s="21" t="n">
        <f aca="false">(1+N116)/(1+WPI!$J$5)-1</f>
        <v>0.0800605421415328</v>
      </c>
      <c r="P116" s="3" t="str">
        <f aca="false">IF(O116&gt;0,"Yes","No")</f>
        <v>Yes</v>
      </c>
      <c r="Q116" s="21" t="n">
        <f aca="false">M116/L116-1</f>
        <v>0.139720394736842</v>
      </c>
    </row>
    <row r="117" customFormat="false" ht="15" hidden="false" customHeight="true" outlineLevel="0" collapsed="false">
      <c r="A117" s="3" t="s">
        <v>284</v>
      </c>
      <c r="B117" s="3" t="s">
        <v>105</v>
      </c>
      <c r="C117" s="3" t="n">
        <v>32.84</v>
      </c>
      <c r="D117" s="3" t="n">
        <v>42.52</v>
      </c>
      <c r="E117" s="3" t="n">
        <v>50.32</v>
      </c>
      <c r="F117" s="3" t="n">
        <v>58.34</v>
      </c>
      <c r="G117" s="3" t="n">
        <v>67.35</v>
      </c>
      <c r="H117" s="3" t="n">
        <v>62.21</v>
      </c>
      <c r="I117" s="3" t="n">
        <v>66.84</v>
      </c>
      <c r="J117" s="3" t="n">
        <v>70.22</v>
      </c>
      <c r="K117" s="3" t="n">
        <v>64.41</v>
      </c>
      <c r="L117" s="3" t="n">
        <v>81.79</v>
      </c>
      <c r="M117" s="3" t="n">
        <v>86.96</v>
      </c>
      <c r="N117" s="21" t="n">
        <f aca="false">(M117/C117)^(1/10)-1</f>
        <v>0.102279265750944</v>
      </c>
      <c r="O117" s="21" t="n">
        <f aca="false">(1+N117)/(1+WPI!$J$5)-1</f>
        <v>0.0696042204233101</v>
      </c>
      <c r="P117" s="3" t="str">
        <f aca="false">IF(O117&gt;0,"Yes","No")</f>
        <v>Yes</v>
      </c>
      <c r="Q117" s="21" t="n">
        <f aca="false">M117/L117-1</f>
        <v>0.0632106614500549</v>
      </c>
    </row>
    <row r="118" customFormat="false" ht="15" hidden="false" customHeight="true" outlineLevel="0" collapsed="false">
      <c r="A118" s="3" t="s">
        <v>285</v>
      </c>
      <c r="B118" s="3" t="s">
        <v>106</v>
      </c>
      <c r="C118" s="3" t="n">
        <v>100.24</v>
      </c>
      <c r="D118" s="3" t="n">
        <v>137.13</v>
      </c>
      <c r="E118" s="3" t="n">
        <v>169.1</v>
      </c>
      <c r="F118" s="3" t="n">
        <v>209.26</v>
      </c>
      <c r="G118" s="3" t="n">
        <v>264.68</v>
      </c>
      <c r="H118" s="3" t="n">
        <v>300.91</v>
      </c>
      <c r="I118" s="3" t="n">
        <v>324.05</v>
      </c>
      <c r="J118" s="3" t="n">
        <v>334.96</v>
      </c>
      <c r="K118" s="3" t="n">
        <v>402.76</v>
      </c>
      <c r="L118" s="3" t="n">
        <v>580.1</v>
      </c>
      <c r="M118" s="3" t="n">
        <v>617.93</v>
      </c>
      <c r="N118" s="21" t="n">
        <f aca="false">(M118/C118)^(1/10)-1</f>
        <v>0.19947119301837</v>
      </c>
      <c r="O118" s="21" t="n">
        <f aca="false">(1+N118)/(1+WPI!$J$5)-1</f>
        <v>0.163915071426655</v>
      </c>
      <c r="P118" s="3" t="str">
        <f aca="false">IF(O118&gt;0,"Yes","No")</f>
        <v>Yes</v>
      </c>
      <c r="Q118" s="21" t="n">
        <f aca="false">M118/L118-1</f>
        <v>0.0652128943285639</v>
      </c>
    </row>
    <row r="119" customFormat="false" ht="15" hidden="false" customHeight="true" outlineLevel="0" collapsed="false">
      <c r="A119" s="3" t="s">
        <v>286</v>
      </c>
      <c r="B119" s="3" t="s">
        <v>107</v>
      </c>
      <c r="C119" s="3" t="n">
        <v>124.92</v>
      </c>
      <c r="D119" s="3" t="n">
        <v>106.21</v>
      </c>
      <c r="E119" s="3" t="n">
        <v>142.98</v>
      </c>
      <c r="F119" s="3" t="n">
        <v>181.2</v>
      </c>
      <c r="G119" s="3" t="n">
        <v>187.34</v>
      </c>
      <c r="H119" s="3" t="n">
        <v>187.77</v>
      </c>
      <c r="I119" s="3" t="n">
        <v>191.6</v>
      </c>
      <c r="J119" s="3" t="n">
        <v>166.08</v>
      </c>
      <c r="K119" s="3" t="n">
        <v>214.69</v>
      </c>
      <c r="L119" s="3" t="n">
        <v>280.32</v>
      </c>
      <c r="M119" s="3" t="n">
        <v>238.95</v>
      </c>
      <c r="N119" s="21" t="n">
        <f aca="false">(M119/C119)^(1/10)-1</f>
        <v>0.067007583133327</v>
      </c>
      <c r="O119" s="21" t="n">
        <f aca="false">(1+N119)/(1+WPI!$J$5)-1</f>
        <v>0.0353781020870163</v>
      </c>
      <c r="P119" s="3" t="str">
        <f aca="false">IF(O119&gt;0,"Yes","No")</f>
        <v>Yes</v>
      </c>
      <c r="Q119" s="21" t="n">
        <f aca="false">M119/L119-1</f>
        <v>-0.147581335616438</v>
      </c>
    </row>
    <row r="120" customFormat="false" ht="15" hidden="false" customHeight="true" outlineLevel="0" collapsed="false">
      <c r="A120" s="3" t="s">
        <v>287</v>
      </c>
      <c r="B120" s="3" t="s">
        <v>105</v>
      </c>
      <c r="C120" s="3" t="n">
        <v>11.07</v>
      </c>
      <c r="D120" s="3" t="n">
        <v>10.82</v>
      </c>
      <c r="E120" s="3" t="n">
        <v>15.15</v>
      </c>
      <c r="F120" s="3" t="n">
        <v>12.78</v>
      </c>
      <c r="G120" s="3" t="n">
        <v>18.35</v>
      </c>
      <c r="H120" s="3" t="n">
        <v>16.5</v>
      </c>
      <c r="I120" s="3" t="n">
        <v>15.52</v>
      </c>
      <c r="J120" s="3" t="n">
        <v>19.86</v>
      </c>
      <c r="K120" s="3" t="n">
        <v>27.26</v>
      </c>
      <c r="L120" s="3" t="n">
        <v>35.31</v>
      </c>
      <c r="M120" s="3" t="n">
        <v>58.43</v>
      </c>
      <c r="N120" s="21" t="n">
        <f aca="false">(M120/C120)^(1/10)-1</f>
        <v>0.1809970873852</v>
      </c>
      <c r="O120" s="21" t="n">
        <f aca="false">(1+N120)/(1+WPI!$J$5)-1</f>
        <v>0.145988596741201</v>
      </c>
      <c r="P120" s="3" t="str">
        <f aca="false">IF(O120&gt;0,"Yes","No")</f>
        <v>Yes</v>
      </c>
      <c r="Q120" s="21" t="n">
        <f aca="false">M120/L120-1</f>
        <v>0.654772019258</v>
      </c>
    </row>
    <row r="121" customFormat="false" ht="15" hidden="false" customHeight="true" outlineLevel="0" collapsed="false">
      <c r="A121" s="3" t="s">
        <v>288</v>
      </c>
      <c r="B121" s="3" t="s">
        <v>106</v>
      </c>
      <c r="C121" s="3" t="n">
        <v>59.76</v>
      </c>
      <c r="D121" s="3" t="n">
        <v>55.76</v>
      </c>
      <c r="E121" s="3" t="n">
        <v>81.95</v>
      </c>
      <c r="F121" s="3" t="n">
        <v>159</v>
      </c>
      <c r="G121" s="3" t="n">
        <v>181.55</v>
      </c>
      <c r="H121" s="3" t="n">
        <v>210.25</v>
      </c>
      <c r="I121" s="3" t="n">
        <v>198.42</v>
      </c>
      <c r="J121" s="3" t="n">
        <v>136.97</v>
      </c>
      <c r="K121" s="3" t="n">
        <v>162.58</v>
      </c>
      <c r="L121" s="3" t="n">
        <v>165.03</v>
      </c>
      <c r="M121" s="3" t="n">
        <v>131.74</v>
      </c>
      <c r="N121" s="21" t="n">
        <f aca="false">(M121/C121)^(1/10)-1</f>
        <v>0.0822577564040703</v>
      </c>
      <c r="O121" s="21" t="n">
        <f aca="false">(1+N121)/(1+WPI!$J$5)-1</f>
        <v>0.050176211966604</v>
      </c>
      <c r="P121" s="3" t="str">
        <f aca="false">IF(O121&gt;0,"Yes","No")</f>
        <v>Yes</v>
      </c>
      <c r="Q121" s="21" t="n">
        <f aca="false">M121/L121-1</f>
        <v>-0.201720899230443</v>
      </c>
    </row>
    <row r="122" customFormat="false" ht="15" hidden="false" customHeight="true" outlineLevel="0" collapsed="false">
      <c r="A122" s="3" t="s">
        <v>289</v>
      </c>
      <c r="B122" s="3" t="s">
        <v>108</v>
      </c>
      <c r="C122" s="3" t="n">
        <v>574.88</v>
      </c>
      <c r="D122" s="3" t="n">
        <v>325.05</v>
      </c>
      <c r="E122" s="3" t="n">
        <v>490.13</v>
      </c>
      <c r="F122" s="3" t="n">
        <v>458.83</v>
      </c>
      <c r="G122" s="3" t="n">
        <v>818.52</v>
      </c>
      <c r="H122" s="3" t="n">
        <v>756.93</v>
      </c>
      <c r="I122" s="3" t="n">
        <v>2056.22</v>
      </c>
      <c r="J122" s="3" t="n">
        <v>1260.96</v>
      </c>
      <c r="K122" s="3" t="n">
        <v>1270.91</v>
      </c>
      <c r="L122" s="3" t="n">
        <v>1356.43</v>
      </c>
      <c r="M122" s="3" t="n">
        <v>1541.1</v>
      </c>
      <c r="N122" s="21" t="n">
        <f aca="false">(M122/C122)^(1/10)-1</f>
        <v>0.103634738471907</v>
      </c>
      <c r="O122" s="21" t="n">
        <f aca="false">(1+N122)/(1+WPI!$J$5)-1</f>
        <v>0.0709195126437647</v>
      </c>
      <c r="P122" s="3" t="str">
        <f aca="false">IF(O122&gt;0,"Yes","No")</f>
        <v>Yes</v>
      </c>
      <c r="Q122" s="21" t="n">
        <f aca="false">M122/L122-1</f>
        <v>0.136144143081471</v>
      </c>
    </row>
    <row r="123" customFormat="false" ht="15" hidden="false" customHeight="true" outlineLevel="0" collapsed="false">
      <c r="A123" s="3" t="s">
        <v>123</v>
      </c>
      <c r="B123" s="3" t="s">
        <v>108</v>
      </c>
      <c r="C123" s="3" t="n">
        <v>1852.88</v>
      </c>
      <c r="D123" s="3" t="n">
        <v>1985.78</v>
      </c>
      <c r="E123" s="3" t="n">
        <v>2463.1</v>
      </c>
      <c r="F123" s="3" t="n">
        <v>2329.75</v>
      </c>
      <c r="G123" s="3" t="n">
        <v>2823.77</v>
      </c>
      <c r="H123" s="3" t="n">
        <v>7882.47</v>
      </c>
      <c r="I123" s="3" t="n">
        <v>7254.09</v>
      </c>
      <c r="J123" s="3" t="n">
        <v>7509.67</v>
      </c>
      <c r="K123" s="3" t="n">
        <v>8774.41</v>
      </c>
      <c r="L123" s="3" t="n">
        <v>9783.29</v>
      </c>
      <c r="M123" s="3" t="n">
        <v>13136.03</v>
      </c>
      <c r="N123" s="21" t="n">
        <f aca="false">(M123/C123)^(1/10)-1</f>
        <v>0.216358750500205</v>
      </c>
      <c r="O123" s="21" t="n">
        <f aca="false">(1+N123)/(1+WPI!$J$5)-1</f>
        <v>0.18030202826822</v>
      </c>
      <c r="P123" s="3" t="str">
        <f aca="false">IF(O123&gt;0,"Yes","No")</f>
        <v>Yes</v>
      </c>
      <c r="Q123" s="21" t="n">
        <f aca="false">M123/L123-1</f>
        <v>0.34270066613583</v>
      </c>
    </row>
    <row r="124" customFormat="false" ht="15" hidden="false" customHeight="true" outlineLevel="0" collapsed="false">
      <c r="A124" s="3" t="s">
        <v>290</v>
      </c>
      <c r="B124" s="3" t="s">
        <v>106</v>
      </c>
      <c r="C124" s="3" t="n">
        <v>68.6</v>
      </c>
      <c r="D124" s="3" t="n">
        <v>51.38</v>
      </c>
      <c r="E124" s="3" t="n">
        <v>90.78</v>
      </c>
      <c r="F124" s="3" t="n">
        <v>74.78</v>
      </c>
      <c r="G124" s="3" t="n">
        <v>99.99</v>
      </c>
      <c r="H124" s="3" t="n">
        <v>124.7</v>
      </c>
      <c r="I124" s="3" t="n">
        <v>104.18</v>
      </c>
      <c r="J124" s="3" t="n">
        <v>110.21</v>
      </c>
      <c r="K124" s="3" t="n">
        <v>111.5</v>
      </c>
      <c r="L124" s="3" t="n">
        <v>117.36</v>
      </c>
      <c r="M124" s="3" t="n">
        <v>123.59</v>
      </c>
      <c r="N124" s="21" t="n">
        <f aca="false">(M124/C124)^(1/10)-1</f>
        <v>0.0606349201575318</v>
      </c>
      <c r="O124" s="21" t="n">
        <f aca="false">(1+N124)/(1+WPI!$J$5)-1</f>
        <v>0.0291943450065433</v>
      </c>
      <c r="P124" s="3" t="str">
        <f aca="false">IF(O124&gt;0,"Yes","No")</f>
        <v>Yes</v>
      </c>
      <c r="Q124" s="21" t="n">
        <f aca="false">M124/L124-1</f>
        <v>0.0530845262440356</v>
      </c>
    </row>
    <row r="125" customFormat="false" ht="15" hidden="false" customHeight="true" outlineLevel="0" collapsed="false">
      <c r="A125" s="3" t="s">
        <v>291</v>
      </c>
      <c r="B125" s="3" t="s">
        <v>106</v>
      </c>
      <c r="C125" s="3" t="n">
        <v>61.68</v>
      </c>
      <c r="D125" s="3" t="n">
        <v>105.17</v>
      </c>
      <c r="E125" s="3" t="n">
        <v>151.73</v>
      </c>
      <c r="F125" s="3" t="n">
        <v>225.48</v>
      </c>
      <c r="G125" s="3" t="n">
        <v>284.78</v>
      </c>
      <c r="H125" s="3" t="n">
        <v>315.83</v>
      </c>
      <c r="I125" s="3" t="n">
        <v>345.69</v>
      </c>
      <c r="J125" s="3" t="n">
        <v>434.61</v>
      </c>
      <c r="K125" s="3" t="n">
        <v>365.48</v>
      </c>
      <c r="L125" s="3" t="n">
        <v>420.38</v>
      </c>
      <c r="M125" s="3" t="n">
        <v>444.34</v>
      </c>
      <c r="N125" s="21" t="n">
        <f aca="false">(M125/C125)^(1/10)-1</f>
        <v>0.218308024007488</v>
      </c>
      <c r="O125" s="21" t="n">
        <f aca="false">(1+N125)/(1+WPI!$J$5)-1</f>
        <v>0.182193519140751</v>
      </c>
      <c r="P125" s="3" t="str">
        <f aca="false">IF(O125&gt;0,"Yes","No")</f>
        <v>Yes</v>
      </c>
      <c r="Q125" s="21" t="n">
        <f aca="false">M125/L125-1</f>
        <v>0.0569960511917789</v>
      </c>
    </row>
    <row r="126" customFormat="false" ht="15" hidden="false" customHeight="true" outlineLevel="0" collapsed="false">
      <c r="A126" s="3" t="s">
        <v>292</v>
      </c>
      <c r="B126" s="3" t="s">
        <v>105</v>
      </c>
      <c r="C126" s="3" t="n">
        <v>33.55</v>
      </c>
      <c r="D126" s="3" t="n">
        <v>37.34</v>
      </c>
      <c r="E126" s="3" t="n">
        <v>47.12</v>
      </c>
      <c r="F126" s="3" t="n">
        <v>50.25</v>
      </c>
      <c r="G126" s="3" t="n">
        <v>52.78</v>
      </c>
      <c r="H126" s="3" t="n">
        <v>51.34</v>
      </c>
      <c r="I126" s="3" t="n">
        <v>61.91</v>
      </c>
      <c r="J126" s="3" t="n">
        <v>51.81</v>
      </c>
      <c r="K126" s="3" t="n">
        <v>40.88</v>
      </c>
      <c r="L126" s="3" t="n">
        <v>55.03</v>
      </c>
      <c r="M126" s="3" t="n">
        <v>18.85</v>
      </c>
      <c r="N126" s="21" t="n">
        <f aca="false">(M126/C126)^(1/10)-1</f>
        <v>-0.056021978061401</v>
      </c>
      <c r="O126" s="21" t="n">
        <f aca="false">(1+N126)/(1+WPI!$J$5)-1</f>
        <v>-0.0840044736172081</v>
      </c>
      <c r="P126" s="3" t="str">
        <f aca="false">IF(O126&gt;0,"Yes","No")</f>
        <v>No</v>
      </c>
      <c r="Q126" s="21" t="n">
        <f aca="false">M126/L126-1</f>
        <v>-0.657459567508632</v>
      </c>
    </row>
    <row r="127" customFormat="false" ht="15" hidden="false" customHeight="true" outlineLevel="0" collapsed="false">
      <c r="A127" s="3" t="s">
        <v>293</v>
      </c>
      <c r="B127" s="3" t="s">
        <v>105</v>
      </c>
      <c r="C127" s="3" t="n">
        <v>12.22</v>
      </c>
      <c r="D127" s="3" t="n">
        <v>14.9</v>
      </c>
      <c r="E127" s="3" t="n">
        <v>19.67</v>
      </c>
      <c r="F127" s="3" t="n">
        <v>26.97</v>
      </c>
      <c r="G127" s="3" t="n">
        <v>40.52</v>
      </c>
      <c r="H127" s="3" t="n">
        <v>42.17</v>
      </c>
      <c r="I127" s="3" t="n">
        <v>47.83</v>
      </c>
      <c r="J127" s="3" t="n">
        <v>55.31</v>
      </c>
      <c r="K127" s="3" t="n">
        <v>55.79</v>
      </c>
      <c r="L127" s="3" t="n">
        <v>58.24</v>
      </c>
      <c r="M127" s="3" t="n">
        <v>69.48</v>
      </c>
      <c r="N127" s="21" t="n">
        <f aca="false">(M127/C127)^(1/10)-1</f>
        <v>0.189813412680622</v>
      </c>
      <c r="O127" s="21" t="n">
        <f aca="false">(1+N127)/(1+WPI!$J$5)-1</f>
        <v>0.154543578257781</v>
      </c>
      <c r="P127" s="3" t="str">
        <f aca="false">IF(O127&gt;0,"Yes","No")</f>
        <v>Yes</v>
      </c>
      <c r="Q127" s="21" t="n">
        <f aca="false">M127/L127-1</f>
        <v>0.192994505494505</v>
      </c>
    </row>
    <row r="128" customFormat="false" ht="15" hidden="false" customHeight="true" outlineLevel="0" collapsed="false">
      <c r="A128" s="3" t="s">
        <v>132</v>
      </c>
      <c r="B128" s="3" t="s">
        <v>108</v>
      </c>
      <c r="C128" s="3" t="n">
        <v>1374.15</v>
      </c>
      <c r="D128" s="3" t="n">
        <v>1648.59</v>
      </c>
      <c r="E128" s="3" t="n">
        <v>1960.88</v>
      </c>
      <c r="F128" s="3" t="n">
        <v>2587.9</v>
      </c>
      <c r="G128" s="3" t="n">
        <v>3228</v>
      </c>
      <c r="H128" s="3" t="n">
        <v>3417.69</v>
      </c>
      <c r="I128" s="3" t="n">
        <v>5301.65</v>
      </c>
      <c r="J128" s="3" t="n">
        <v>4461.66</v>
      </c>
      <c r="K128" s="3" t="n">
        <v>4141.94</v>
      </c>
      <c r="L128" s="3" t="n">
        <v>5557.21</v>
      </c>
      <c r="M128" s="3" t="n">
        <v>6026.47</v>
      </c>
      <c r="N128" s="21" t="n">
        <f aca="false">(M128/C128)^(1/10)-1</f>
        <v>0.159318818829749</v>
      </c>
      <c r="O128" s="21" t="n">
        <f aca="false">(1+N128)/(1+WPI!$J$5)-1</f>
        <v>0.124952940661267</v>
      </c>
      <c r="P128" s="3" t="str">
        <f aca="false">IF(O128&gt;0,"Yes","No")</f>
        <v>Yes</v>
      </c>
      <c r="Q128" s="21" t="n">
        <f aca="false">M128/L128-1</f>
        <v>0.0844416532756545</v>
      </c>
    </row>
    <row r="129" customFormat="false" ht="15" hidden="false" customHeight="true" outlineLevel="0" collapsed="false">
      <c r="A129" s="3" t="s">
        <v>294</v>
      </c>
      <c r="B129" s="3" t="s">
        <v>108</v>
      </c>
      <c r="C129" s="3" t="n">
        <v>617.08</v>
      </c>
      <c r="D129" s="3" t="n">
        <v>559.83</v>
      </c>
      <c r="E129" s="3" t="n">
        <v>598.84</v>
      </c>
      <c r="F129" s="3" t="n">
        <v>776.09</v>
      </c>
      <c r="G129" s="3" t="n">
        <v>788.42</v>
      </c>
      <c r="H129" s="3" t="n">
        <v>825.66</v>
      </c>
      <c r="I129" s="3" t="n">
        <v>909.11</v>
      </c>
      <c r="J129" s="3" t="n">
        <v>552.35</v>
      </c>
      <c r="K129" s="3" t="n">
        <v>626.6</v>
      </c>
      <c r="L129" s="3" t="n">
        <v>910.4</v>
      </c>
      <c r="M129" s="3" t="n">
        <v>850.53</v>
      </c>
      <c r="N129" s="21" t="n">
        <f aca="false">(M129/C129)^(1/10)-1</f>
        <v>0.0326064098642152</v>
      </c>
      <c r="O129" s="21" t="n">
        <f aca="false">(1+N129)/(1+WPI!$J$5)-1</f>
        <v>0.00199668844762613</v>
      </c>
      <c r="P129" s="3" t="str">
        <f aca="false">IF(O129&gt;0,"Yes","No")</f>
        <v>Yes</v>
      </c>
      <c r="Q129" s="21" t="n">
        <f aca="false">M129/L129-1</f>
        <v>-0.06576230228471</v>
      </c>
    </row>
    <row r="130" customFormat="false" ht="15" hidden="false" customHeight="true" outlineLevel="0" collapsed="false">
      <c r="A130" s="3" t="s">
        <v>295</v>
      </c>
      <c r="B130" s="3" t="s">
        <v>105</v>
      </c>
      <c r="C130" s="3" t="n">
        <v>23.74</v>
      </c>
      <c r="D130" s="3" t="n">
        <v>19.6</v>
      </c>
      <c r="E130" s="3" t="n">
        <v>19.19</v>
      </c>
      <c r="F130" s="3" t="n">
        <v>20.6</v>
      </c>
      <c r="G130" s="3" t="n">
        <v>23.17</v>
      </c>
      <c r="H130" s="3" t="n">
        <v>32.2</v>
      </c>
      <c r="I130" s="3" t="n">
        <v>30.74</v>
      </c>
      <c r="J130" s="3" t="n">
        <v>29.08</v>
      </c>
      <c r="K130" s="3" t="n">
        <v>37.45</v>
      </c>
      <c r="L130" s="3" t="n">
        <v>36.16</v>
      </c>
      <c r="M130" s="3" t="n">
        <v>34.88</v>
      </c>
      <c r="N130" s="21" t="n">
        <f aca="false">(M130/C130)^(1/10)-1</f>
        <v>0.0392249770686064</v>
      </c>
      <c r="O130" s="21" t="n">
        <f aca="false">(1+N130)/(1+WPI!$J$5)-1</f>
        <v>0.00841906037725626</v>
      </c>
      <c r="P130" s="3" t="str">
        <f aca="false">IF(O130&gt;0,"Yes","No")</f>
        <v>Yes</v>
      </c>
      <c r="Q130" s="21" t="n">
        <f aca="false">M130/L130-1</f>
        <v>-0.0353982300884954</v>
      </c>
    </row>
    <row r="131" customFormat="false" ht="15" hidden="false" customHeight="true" outlineLevel="0" collapsed="false">
      <c r="A131" s="3" t="s">
        <v>296</v>
      </c>
      <c r="B131" s="3" t="s">
        <v>105</v>
      </c>
      <c r="C131" s="3" t="n">
        <v>24.65</v>
      </c>
      <c r="D131" s="3" t="n">
        <v>22.83</v>
      </c>
      <c r="E131" s="3" t="n">
        <v>21.62</v>
      </c>
      <c r="F131" s="3" t="n">
        <v>30.91</v>
      </c>
      <c r="G131" s="3" t="n">
        <v>45.39</v>
      </c>
      <c r="H131" s="3" t="n">
        <v>54.17</v>
      </c>
      <c r="I131" s="3" t="n">
        <v>63.75</v>
      </c>
      <c r="J131" s="3" t="n">
        <v>74.45</v>
      </c>
      <c r="K131" s="3" t="n">
        <v>104.88</v>
      </c>
      <c r="L131" s="3" t="n">
        <v>83.18</v>
      </c>
      <c r="M131" s="3" t="n">
        <v>78.72</v>
      </c>
      <c r="N131" s="21" t="n">
        <f aca="false">(M131/C131)^(1/10)-1</f>
        <v>0.123121694277183</v>
      </c>
      <c r="O131" s="21" t="n">
        <f aca="false">(1+N131)/(1+WPI!$J$5)-1</f>
        <v>0.0898288134173084</v>
      </c>
      <c r="P131" s="3" t="str">
        <f aca="false">IF(O131&gt;0,"Yes","No")</f>
        <v>Yes</v>
      </c>
      <c r="Q131" s="21" t="n">
        <f aca="false">M131/L131-1</f>
        <v>-0.0536186583313297</v>
      </c>
    </row>
    <row r="132" customFormat="false" ht="15" hidden="false" customHeight="true" outlineLevel="0" collapsed="false">
      <c r="A132" s="3" t="s">
        <v>297</v>
      </c>
      <c r="B132" s="3" t="s">
        <v>105</v>
      </c>
      <c r="C132" s="3" t="n">
        <v>3.51</v>
      </c>
      <c r="D132" s="3" t="n">
        <v>4.01</v>
      </c>
      <c r="E132" s="3" t="n">
        <v>3.92</v>
      </c>
      <c r="F132" s="3" t="n">
        <v>4.33</v>
      </c>
      <c r="G132" s="3" t="n">
        <v>5.65</v>
      </c>
      <c r="H132" s="3" t="n">
        <v>8.03</v>
      </c>
      <c r="I132" s="3" t="n">
        <v>9.39</v>
      </c>
      <c r="J132" s="3" t="n">
        <v>11.69</v>
      </c>
      <c r="K132" s="3" t="n">
        <v>10.31</v>
      </c>
      <c r="L132" s="3" t="n">
        <v>10.79</v>
      </c>
      <c r="M132" s="3" t="n">
        <v>9.81</v>
      </c>
      <c r="N132" s="21" t="n">
        <f aca="false">(M132/C132)^(1/10)-1</f>
        <v>0.10824604240966</v>
      </c>
      <c r="O132" s="21" t="n">
        <f aca="false">(1+N132)/(1+WPI!$J$5)-1</f>
        <v>0.0753941229414687</v>
      </c>
      <c r="P132" s="3" t="str">
        <f aca="false">IF(O132&gt;0,"Yes","No")</f>
        <v>Yes</v>
      </c>
      <c r="Q132" s="21" t="n">
        <f aca="false">M132/L132-1</f>
        <v>-0.0908248378127895</v>
      </c>
    </row>
    <row r="133" customFormat="false" ht="15" hidden="false" customHeight="true" outlineLevel="0" collapsed="false">
      <c r="A133" s="3" t="s">
        <v>298</v>
      </c>
      <c r="B133" s="3" t="s">
        <v>107</v>
      </c>
      <c r="C133" s="3" t="n">
        <v>257.99</v>
      </c>
      <c r="D133" s="3" t="n">
        <v>298.06</v>
      </c>
      <c r="E133" s="3" t="n">
        <v>394.17</v>
      </c>
      <c r="F133" s="3" t="n">
        <v>410.56</v>
      </c>
      <c r="G133" s="3" t="n">
        <v>434.68</v>
      </c>
      <c r="H133" s="3" t="n">
        <v>485.26</v>
      </c>
      <c r="I133" s="3" t="n">
        <v>537.92</v>
      </c>
      <c r="J133" s="3" t="n">
        <v>536.01</v>
      </c>
      <c r="K133" s="3" t="n">
        <v>582.29</v>
      </c>
      <c r="L133" s="3" t="n">
        <v>733.23</v>
      </c>
      <c r="M133" s="3" t="n">
        <v>839.33</v>
      </c>
      <c r="N133" s="21" t="n">
        <f aca="false">(M133/C133)^(1/10)-1</f>
        <v>0.125208456326804</v>
      </c>
      <c r="O133" s="21" t="n">
        <f aca="false">(1+N133)/(1+WPI!$J$5)-1</f>
        <v>0.0918537172367346</v>
      </c>
      <c r="P133" s="3" t="str">
        <f aca="false">IF(O133&gt;0,"Yes","No")</f>
        <v>Yes</v>
      </c>
      <c r="Q133" s="21" t="n">
        <f aca="false">M133/L133-1</f>
        <v>0.144702208038406</v>
      </c>
    </row>
    <row r="134" customFormat="false" ht="15" hidden="false" customHeight="true" outlineLevel="0" collapsed="false">
      <c r="A134" s="3" t="s">
        <v>299</v>
      </c>
      <c r="B134" s="3" t="s">
        <v>107</v>
      </c>
      <c r="C134" s="3" t="n">
        <v>311.93</v>
      </c>
      <c r="D134" s="3" t="n">
        <v>357.27</v>
      </c>
      <c r="E134" s="3" t="n">
        <v>402.39</v>
      </c>
      <c r="F134" s="3" t="n">
        <v>460.26</v>
      </c>
      <c r="G134" s="3" t="n">
        <v>519.54</v>
      </c>
      <c r="H134" s="3" t="n">
        <v>449.75</v>
      </c>
      <c r="I134" s="3" t="n">
        <v>396.98</v>
      </c>
      <c r="J134" s="3" t="n">
        <v>370.35</v>
      </c>
      <c r="K134" s="3" t="n">
        <v>350.25</v>
      </c>
      <c r="L134" s="3" t="n">
        <v>295.8</v>
      </c>
      <c r="M134" s="3" t="n">
        <v>314.3</v>
      </c>
      <c r="N134" s="21" t="n">
        <f aca="false">(M134/C134)^(1/10)-1</f>
        <v>0.000757200545765002</v>
      </c>
      <c r="O134" s="21" t="n">
        <f aca="false">(1+N134)/(1+WPI!$J$5)-1</f>
        <v>-0.0289084095276604</v>
      </c>
      <c r="P134" s="3" t="str">
        <f aca="false">IF(O134&gt;0,"Yes","No")</f>
        <v>No</v>
      </c>
      <c r="Q134" s="21" t="n">
        <f aca="false">M134/L134-1</f>
        <v>0.0625422582826234</v>
      </c>
    </row>
    <row r="135" customFormat="false" ht="15" hidden="false" customHeight="true" outlineLevel="0" collapsed="false">
      <c r="A135" s="3" t="s">
        <v>300</v>
      </c>
      <c r="B135" s="3" t="s">
        <v>105</v>
      </c>
      <c r="C135" s="3" t="n">
        <v>0.8</v>
      </c>
      <c r="D135" s="3" t="n">
        <v>5.67</v>
      </c>
      <c r="E135" s="3" t="n">
        <v>3.62</v>
      </c>
      <c r="F135" s="3" t="n">
        <v>7.47</v>
      </c>
      <c r="G135" s="3" t="n">
        <v>6</v>
      </c>
      <c r="H135" s="3" t="n">
        <v>6.75</v>
      </c>
      <c r="I135" s="3" t="n">
        <v>8.39</v>
      </c>
      <c r="J135" s="3" t="n">
        <v>24.18</v>
      </c>
      <c r="K135" s="3" t="n">
        <v>28.22</v>
      </c>
      <c r="L135" s="3" t="n">
        <v>31.07</v>
      </c>
      <c r="M135" s="3" t="n">
        <v>22.76</v>
      </c>
      <c r="N135" s="21" t="n">
        <f aca="false">(M135/C135)^(1/10)-1</f>
        <v>0.39768153307855</v>
      </c>
      <c r="O135" s="21" t="n">
        <f aca="false">(1+N135)/(1+WPI!$J$5)-1</f>
        <v>0.356249829819734</v>
      </c>
      <c r="P135" s="3" t="str">
        <f aca="false">IF(O135&gt;0,"Yes","No")</f>
        <v>Yes</v>
      </c>
      <c r="Q135" s="21" t="n">
        <f aca="false">M135/L135-1</f>
        <v>-0.267460572899903</v>
      </c>
    </row>
    <row r="136" customFormat="false" ht="15" hidden="false" customHeight="true" outlineLevel="0" collapsed="false">
      <c r="A136" s="3" t="s">
        <v>301</v>
      </c>
      <c r="B136" s="3" t="s">
        <v>107</v>
      </c>
      <c r="C136" s="3" t="n">
        <v>184.85</v>
      </c>
      <c r="D136" s="3" t="n">
        <v>180.78</v>
      </c>
      <c r="E136" s="3" t="n">
        <v>215.39</v>
      </c>
      <c r="F136" s="3" t="n">
        <v>295.08</v>
      </c>
      <c r="G136" s="3" t="n">
        <v>421.9</v>
      </c>
      <c r="H136" s="3" t="n">
        <v>184.92</v>
      </c>
      <c r="I136" s="3" t="n">
        <v>293.77</v>
      </c>
      <c r="J136" s="3" t="n">
        <v>314.13</v>
      </c>
      <c r="K136" s="3" t="n">
        <v>249.56</v>
      </c>
      <c r="L136" s="3" t="n">
        <v>273.83</v>
      </c>
      <c r="M136" s="3" t="n">
        <v>275.61</v>
      </c>
      <c r="N136" s="21" t="n">
        <f aca="false">(M136/C136)^(1/10)-1</f>
        <v>0.0407527128890279</v>
      </c>
      <c r="O136" s="21" t="n">
        <f aca="false">(1+N136)/(1+WPI!$J$5)-1</f>
        <v>0.00990150927381728</v>
      </c>
      <c r="P136" s="3" t="str">
        <f aca="false">IF(O136&gt;0,"Yes","No")</f>
        <v>Yes</v>
      </c>
      <c r="Q136" s="21" t="n">
        <f aca="false">M136/L136-1</f>
        <v>0.00650038344958559</v>
      </c>
    </row>
    <row r="137" customFormat="false" ht="15" hidden="false" customHeight="true" outlineLevel="0" collapsed="false">
      <c r="A137" s="3" t="s">
        <v>302</v>
      </c>
      <c r="B137" s="3" t="s">
        <v>106</v>
      </c>
      <c r="C137" s="3" t="n">
        <v>105.93</v>
      </c>
      <c r="D137" s="3" t="n">
        <v>144.6</v>
      </c>
      <c r="E137" s="3" t="n">
        <v>173.81</v>
      </c>
      <c r="F137" s="3" t="n">
        <v>195.18</v>
      </c>
      <c r="G137" s="3" t="n">
        <v>204.74</v>
      </c>
      <c r="H137" s="3" t="n">
        <v>257.76</v>
      </c>
      <c r="I137" s="3" t="n">
        <v>272.37</v>
      </c>
      <c r="J137" s="3" t="n">
        <v>315.89</v>
      </c>
      <c r="K137" s="3" t="n">
        <v>319.64</v>
      </c>
      <c r="L137" s="3" t="n">
        <v>286.35</v>
      </c>
      <c r="M137" s="3" t="n">
        <v>328.24</v>
      </c>
      <c r="N137" s="21" t="n">
        <f aca="false">(M137/C137)^(1/10)-1</f>
        <v>0.119740156150012</v>
      </c>
      <c r="O137" s="21" t="n">
        <f aca="false">(1+N137)/(1+WPI!$J$5)-1</f>
        <v>0.0865475147802695</v>
      </c>
      <c r="P137" s="3" t="str">
        <f aca="false">IF(O137&gt;0,"Yes","No")</f>
        <v>Yes</v>
      </c>
      <c r="Q137" s="21" t="n">
        <f aca="false">M137/L137-1</f>
        <v>0.146289505849485</v>
      </c>
    </row>
    <row r="138" customFormat="false" ht="15" hidden="false" customHeight="true" outlineLevel="0" collapsed="false">
      <c r="A138" s="3" t="s">
        <v>303</v>
      </c>
      <c r="B138" s="3" t="s">
        <v>108</v>
      </c>
      <c r="C138" s="3" t="n">
        <v>1368.11</v>
      </c>
      <c r="D138" s="3" t="n">
        <v>1725.76</v>
      </c>
      <c r="E138" s="3" t="n">
        <v>2113.28</v>
      </c>
      <c r="F138" s="3" t="n">
        <v>2183.09</v>
      </c>
      <c r="G138" s="3" t="n">
        <v>1617.67</v>
      </c>
      <c r="H138" s="3" t="n">
        <v>1696.96</v>
      </c>
      <c r="I138" s="3" t="n">
        <v>1975.84</v>
      </c>
      <c r="J138" s="3" t="n">
        <v>2146</v>
      </c>
      <c r="K138" s="3" t="n">
        <v>2017.62</v>
      </c>
      <c r="L138" s="3" t="n">
        <v>1423.13</v>
      </c>
      <c r="M138" s="3" t="n">
        <v>704.36</v>
      </c>
      <c r="N138" s="21" t="n">
        <f aca="false">(M138/C138)^(1/10)-1</f>
        <v>-0.0642337733215552</v>
      </c>
      <c r="O138" s="21" t="n">
        <f aca="false">(1+N138)/(1+WPI!$J$5)-1</f>
        <v>-0.0919728452816513</v>
      </c>
      <c r="P138" s="3" t="str">
        <f aca="false">IF(O138&gt;0,"Yes","No")</f>
        <v>No</v>
      </c>
      <c r="Q138" s="21" t="n">
        <f aca="false">M138/L138-1</f>
        <v>-0.505062784144808</v>
      </c>
    </row>
    <row r="139" customFormat="false" ht="15" hidden="false" customHeight="true" outlineLevel="0" collapsed="false">
      <c r="A139" s="3" t="s">
        <v>304</v>
      </c>
      <c r="B139" s="3" t="s">
        <v>106</v>
      </c>
      <c r="C139" s="3" t="n">
        <v>91.58</v>
      </c>
      <c r="D139" s="3" t="n">
        <v>142.02</v>
      </c>
      <c r="E139" s="3" t="n">
        <v>181.15</v>
      </c>
      <c r="F139" s="3" t="n">
        <v>161.6</v>
      </c>
      <c r="G139" s="3" t="n">
        <v>219.41</v>
      </c>
      <c r="H139" s="3" t="n">
        <v>244.15</v>
      </c>
      <c r="I139" s="3" t="n">
        <v>257.66</v>
      </c>
      <c r="J139" s="3" t="n">
        <v>208.87</v>
      </c>
      <c r="K139" s="3" t="n">
        <v>247.77</v>
      </c>
      <c r="L139" s="3" t="n">
        <v>305.22</v>
      </c>
      <c r="M139" s="3" t="n">
        <v>239.92</v>
      </c>
      <c r="N139" s="21" t="n">
        <f aca="false">(M139/C139)^(1/10)-1</f>
        <v>0.101099540383087</v>
      </c>
      <c r="O139" s="21" t="n">
        <f aca="false">(1+N139)/(1+WPI!$J$5)-1</f>
        <v>0.0684594658483062</v>
      </c>
      <c r="P139" s="3" t="str">
        <f aca="false">IF(O139&gt;0,"Yes","No")</f>
        <v>Yes</v>
      </c>
      <c r="Q139" s="21" t="n">
        <f aca="false">M139/L139-1</f>
        <v>-0.213944040364327</v>
      </c>
    </row>
    <row r="140" customFormat="false" ht="15" hidden="false" customHeight="true" outlineLevel="0" collapsed="false">
      <c r="A140" s="3" t="s">
        <v>133</v>
      </c>
      <c r="B140" s="3" t="s">
        <v>108</v>
      </c>
      <c r="C140" s="3" t="n">
        <v>1550.4</v>
      </c>
      <c r="D140" s="3" t="n">
        <v>2211.3</v>
      </c>
      <c r="E140" s="3" t="n">
        <v>2456.5</v>
      </c>
      <c r="F140" s="3" t="n">
        <v>2978.1</v>
      </c>
      <c r="G140" s="3" t="n">
        <v>3587.3</v>
      </c>
      <c r="H140" s="3" t="n">
        <v>4763.6</v>
      </c>
      <c r="I140" s="3" t="n">
        <v>6529.6</v>
      </c>
      <c r="J140" s="3" t="n">
        <v>3098</v>
      </c>
      <c r="K140" s="3" t="n">
        <v>5588.7</v>
      </c>
      <c r="L140" s="3" t="n">
        <v>5746.6</v>
      </c>
      <c r="M140" s="3" t="n">
        <v>5971.3</v>
      </c>
      <c r="N140" s="21" t="n">
        <f aca="false">(M140/C140)^(1/10)-1</f>
        <v>0.144359589094297</v>
      </c>
      <c r="O140" s="21" t="n">
        <f aca="false">(1+N140)/(1+WPI!$J$5)-1</f>
        <v>0.110437149829965</v>
      </c>
      <c r="P140" s="3" t="str">
        <f aca="false">IF(O140&gt;0,"Yes","No")</f>
        <v>Yes</v>
      </c>
      <c r="Q140" s="21" t="n">
        <f aca="false">M140/L140-1</f>
        <v>0.0391013816865624</v>
      </c>
    </row>
    <row r="141" customFormat="false" ht="15" hidden="false" customHeight="true" outlineLevel="0" collapsed="false">
      <c r="A141" s="3" t="s">
        <v>305</v>
      </c>
      <c r="B141" s="3" t="s">
        <v>107</v>
      </c>
      <c r="C141" s="3" t="n">
        <v>164.47</v>
      </c>
      <c r="D141" s="3" t="n">
        <v>200.89</v>
      </c>
      <c r="E141" s="3" t="n">
        <v>209.54</v>
      </c>
      <c r="F141" s="3" t="n">
        <v>120.85</v>
      </c>
      <c r="G141" s="3" t="n">
        <v>113.99</v>
      </c>
      <c r="H141" s="3" t="n">
        <v>113.38</v>
      </c>
      <c r="I141" s="3" t="n">
        <v>105.24</v>
      </c>
      <c r="J141" s="3" t="n">
        <v>114.77</v>
      </c>
      <c r="K141" s="3" t="n">
        <v>136.84</v>
      </c>
      <c r="L141" s="3" t="n">
        <v>159.65</v>
      </c>
      <c r="M141" s="3" t="n">
        <v>165.31</v>
      </c>
      <c r="N141" s="21" t="n">
        <f aca="false">(M141/C141)^(1/10)-1</f>
        <v>0.000509561413505111</v>
      </c>
      <c r="O141" s="21" t="n">
        <f aca="false">(1+N141)/(1+WPI!$J$5)-1</f>
        <v>-0.0291487078524472</v>
      </c>
      <c r="P141" s="3" t="str">
        <f aca="false">IF(O141&gt;0,"Yes","No")</f>
        <v>No</v>
      </c>
      <c r="Q141" s="21" t="n">
        <f aca="false">M141/L141-1</f>
        <v>0.035452552458503</v>
      </c>
    </row>
  </sheetData>
  <autoFilter ref="A1:Q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2026-10-15T10:14:05Z</dcterms:created>
  <dc:creator>openpyxl</dc:creator>
  <dc:description/>
  <dc:language>en-US</dc:language>
  <cp:lastModifiedBy/>
  <dcterms:modified xsi:type="dcterms:W3CDTF">2026-10-15T10:20:53Z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