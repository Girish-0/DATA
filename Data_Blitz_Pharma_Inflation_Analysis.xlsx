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charts/chart4.xml" ContentType="application/vnd.openxmlformats-officedocument.drawingml.chart+xml"/>
  <Override PartName="/xl/worksheets/sheet2.xml" ContentType="application/vnd.openxmlformats-officedocument.spreadsheetml.worksheet+xml"/>
  <Override PartName="/xl/charts/chart6.xml" ContentType="application/vnd.openxmlformats-officedocument.drawingml.chart+xml"/>
  <Override PartName="/xl/worksheets/sheet4.xml" ContentType="application/vnd.openxmlformats-officedocument.spreadsheetml.worksheet+xml"/>
  <Override PartName="/xl/charts/chart5.xml" ContentType="application/vnd.openxmlformats-officedocument.drawingml.chart+xml"/>
  <Override PartName="/docProps/app.xml" ContentType="application/vnd.openxmlformats-officedocument.extended-properties+xml"/>
  <Override PartName="/xl/charts/chart7.xml" ContentType="application/vnd.openxmlformats-officedocument.drawingml.chart+xml"/>
  <Override PartName="/docProps/core.xml" ContentType="application/vnd.openxmlformats-package.core-properties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theme/theme1.xml" ContentType="application/vnd.openxmlformats-officedocument.theme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1" showHorizontalScroll="1" showVerticalScroll="1"/>
  </bookViews>
  <sheets>
    <sheet name="Insights" sheetId="1" state="visible" r:id="rId1"/>
    <sheet name="Yearly Analysis" sheetId="2" state="visible" r:id="rId2"/>
    <sheet name="Size &amp; Distribution" sheetId="3" state="visible" r:id="rId3"/>
    <sheet name="Top 20 Pharma" sheetId="4" state="visible" r:id="rId4"/>
    <sheet name="WPI" sheetId="5" state="visible" r:id="rId5"/>
    <sheet name="Pharma Companies" sheetId="6" state="visible" r:id="rId6"/>
  </sheets>
  <definedNames>
    <definedName name="_xlnm._FilterDatabase" localSheetId="5" hidden="1">'Pharma Companies'!$A$1:$Q$141</definedName>
    <definedName name="_xlnm._FilterDatabase" localSheetId="5" hidden="1">'Pharma Companies'!$A$1:$Q$141</definedName>
  </definedName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<sst xmlns="http://schemas.openxmlformats.org/spreadsheetml/2006/main" count="270" uniqueCount="270">
  <si>
    <t xml:space="preserve">DATA BLITZ — Inflation on Trial: Drugs &amp; Pharmaceuticals (FY2010–FY2020)</t>
  </si>
  <si>
    <t xml:space="preserve">Key numbers (live links)</t>
  </si>
  <si>
    <t xml:space="preserve">Pharma companies in panel</t>
  </si>
  <si>
    <t xml:space="preserve">Pharma nominal sales CAGR</t>
  </si>
  <si>
    <t xml:space="preserve">Pharma price (WPI) CAGR</t>
  </si>
  <si>
    <t xml:space="preserve">Pharma REAL sales CAGR</t>
  </si>
  <si>
    <t xml:space="preserve">Sales multiple FY10-&gt;20</t>
  </si>
  <si>
    <t xml:space="preserve">Price multiple FY10-&gt;20</t>
  </si>
  <si>
    <t xml:space="preserve">Share of growth that was real</t>
  </si>
  <si>
    <t xml:space="preserve">FY2016 pharma growth (economy: -3.5%)</t>
  </si>
  <si>
    <t xml:space="preserve">FY2020 pharma growth (economy: -6.5%)</t>
  </si>
  <si>
    <t xml:space="preserve">FY2017 pharma growth (the stall)</t>
  </si>
  <si>
    <t xml:space="preserve">Correlation pharma vs economy growth</t>
  </si>
  <si>
    <t xml:space="preserve">% pharma cos beating drug inflation</t>
  </si>
  <si>
    <t xml:space="preserve">Top-10 share of FY20 sales</t>
  </si>
  <si>
    <t>Insights</t>
  </si>
  <si>
    <t xml:space="preserve">1. VERDICT — REAL GROWTH, NOT A PRICE TAG: Pharma sales grew ~3.3x (12.6%/yr) while drug prices rose only ~1.35x (3.1%/yr). Real growth ~9.2%/yr — roughly 3/4 of the growth was genuine volume/mix, about double the all-industry real growth (~4.8%/yr).</t>
  </si>
  <si>
    <t xml:space="preserve">2. DRUG PRICES ARE TAME: Pharma WPI never rose more than ~6% in a year, while all-commodity inflation swung from +9.6% to -3.7%. Drug prices are partly regulated (DPCO/NLEM price caps), so pharma revenue cannot simply ride inflation — growth had to come from volume, new products and exports.</t>
  </si>
  <si>
    <t xml:space="preserve">3. THE CALM INDUSTRY: In FY2016, when total corporate sales fell 3.5% (oil crash), pharma grew +13%. In FY2020, when total sales fell 6.5%, pharma still grew +8%. Correlation with economy-wide growth is low (~0.4) — pharma is defensive: people buy medicines in good and bad times.</t>
  </si>
  <si>
    <t xml:space="preserve">4. THE FY2017–18 STALL: Growth collapsed to ~0-2% for two years, with real sales flat. This was industry-specific, not inflation: commonly cited reasons are US generic price erosion, USFDA regulatory actions on Indian plants, and GST transition in July 2017. Good Q&amp;A talking point.</t>
  </si>
  <si>
    <t xml:space="preserve">5. CONCENTRATION IS RISING: Top 10 companies (Sun, Aurobindo, Cipla, Mylan Labs, Dr. Reddy's, Lupin...) went from ~45% to ~52% of panel sales.</t>
  </si>
  <si>
    <t xml:space="preserve">6. MOST FIRMS WIN: ~85% of pharma companies beat drug-price inflation (vs ~71% across all industries); only ~9% shrank in rupees. Median firm grew ~10.8%/yr.</t>
  </si>
  <si>
    <t xml:space="preserve">7. SMALL FIRMS GREW FASTEST: smallest quartile ~16.7%/yr aggregate vs ~12.4% for the largest. Caveat: survivorship bias — only firms present all 11 years.</t>
  </si>
  <si>
    <t xml:space="preserve">Q&amp;A prep:</t>
  </si>
  <si>
    <t xml:space="preserve">• Why pharma WPI and not general WPI? Deflating by the industry's own price index measures real volume growth; general WPI is driven by fuel and would mislead.</t>
  </si>
  <si>
    <t xml:space="preserve">• How were pharma companies identified? By company name (CSV had no industry code). The Prowess Drugs &amp; Pharmaceuticals industry set would be the cleaner sample.</t>
  </si>
  <si>
    <t xml:space="preserve">• Is FY2020-21 (COVID year) included? Pharma WPI for 2020-21 is in the WPI sheet (+2.8%), but the sales file ends Mar 2020.</t>
  </si>
  <si>
    <t xml:space="preserve">• Why exclude firms with missing years? Prevents new entrants/exits from inflating or deflating totals.</t>
  </si>
  <si>
    <t xml:space="preserve">Drugs &amp; Pharmaceuticals — sales vs inflation (140 companies reporting every year FY2010-FY2020, Rs crore)</t>
  </si>
  <si>
    <t>Year</t>
  </si>
  <si>
    <t>Companies</t>
  </si>
  <si>
    <t xml:space="preserve">Total sales (Rs cr)</t>
  </si>
  <si>
    <t xml:space="preserve">Pharma WPI</t>
  </si>
  <si>
    <t xml:space="preserve">Real sales (FY12 prices)</t>
  </si>
  <si>
    <t xml:space="preserve">Nominal growth</t>
  </si>
  <si>
    <t xml:space="preserve">Real growth</t>
  </si>
  <si>
    <t xml:space="preserve">Pharma inflation</t>
  </si>
  <si>
    <t xml:space="preserve">All-industry sales growth*</t>
  </si>
  <si>
    <t xml:space="preserve">Price share of growth</t>
  </si>
  <si>
    <t>FY2010</t>
  </si>
  <si>
    <t>FY2011</t>
  </si>
  <si>
    <t>FY2012</t>
  </si>
  <si>
    <t>FY2013</t>
  </si>
  <si>
    <t>FY2014</t>
  </si>
  <si>
    <t>FY2015</t>
  </si>
  <si>
    <t>FY2016</t>
  </si>
  <si>
    <t>FY2017</t>
  </si>
  <si>
    <t>FY2018</t>
  </si>
  <si>
    <t>FY2019</t>
  </si>
  <si>
    <t>FY2020</t>
  </si>
  <si>
    <t xml:space="preserve">FY10-20 CAGR</t>
  </si>
  <si>
    <t xml:space="preserve">Sales multiple FY10-&gt;FY20</t>
  </si>
  <si>
    <t xml:space="preserve">Price multiple (pharma WPI)</t>
  </si>
  <si>
    <t xml:space="preserve">Share of growth that was real (log)</t>
  </si>
  <si>
    <t xml:space="preserve">Correlation: pharma sales growth vs pharma inflation</t>
  </si>
  <si>
    <t xml:space="preserve">Correlation: pharma growth vs all-industry growth</t>
  </si>
  <si>
    <t xml:space="preserve">Volatility (std dev) of pharma growth</t>
  </si>
  <si>
    <t xml:space="preserve">Volatility (std dev) of all-industry growth</t>
  </si>
  <si>
    <t xml:space="preserve">Pharma CAGR FY10-14</t>
  </si>
  <si>
    <t xml:space="preserve">Pharma CAGR FY14-20</t>
  </si>
  <si>
    <t xml:space="preserve">* All-industry growth = 3,091 companies (all sectors) from the same CMIE file, computed in the earlier analysis — used as the "economy" benchmark.</t>
  </si>
  <si>
    <t xml:space="preserve">Pharma companies identified by company name (pharma/drug/laboratories/remedies/lifesciences etc. + known majors) because the CSV has no industry code; FMCG names like Dabur/P&amp;G removed.</t>
  </si>
  <si>
    <t xml:space="preserve">Which pharma companies beat drug-price inflation? (FY10-20 CAGR)</t>
  </si>
  <si>
    <t xml:space="preserve">Size quartile</t>
  </si>
  <si>
    <t xml:space="preserve">FY10 sales (Rs cr)</t>
  </si>
  <si>
    <t xml:space="preserve">FY20 sales (Rs cr)</t>
  </si>
  <si>
    <t xml:space="preserve">Aggregate CAGR</t>
  </si>
  <si>
    <t xml:space="preserve">Median company CAGR</t>
  </si>
  <si>
    <t xml:space="preserve">% beating pharma inflation</t>
  </si>
  <si>
    <t>Small</t>
  </si>
  <si>
    <t>Lower-mid</t>
  </si>
  <si>
    <t>Upper-mid</t>
  </si>
  <si>
    <t>Large</t>
  </si>
  <si>
    <t>All</t>
  </si>
  <si>
    <t xml:space="preserve">Median column computed in Python; all other cells are live formulas on the Pharma Companies sheet.</t>
  </si>
  <si>
    <t xml:space="preserve">Company CAGR band</t>
  </si>
  <si>
    <t>Share</t>
  </si>
  <si>
    <t xml:space="preserve">Shrank in rupees (&lt;0%)</t>
  </si>
  <si>
    <t xml:space="preserve">Grew, but below pharma inflation</t>
  </si>
  <si>
    <t xml:space="preserve">Beat inflation, under 10%</t>
  </si>
  <si>
    <t xml:space="preserve">10% to 20%</t>
  </si>
  <si>
    <t xml:space="preserve">Over 20%</t>
  </si>
  <si>
    <t xml:space="preserve">FY2020: % of pharma companies with falling sales</t>
  </si>
  <si>
    <t>CAGR</t>
  </si>
  <si>
    <t xml:space="preserve">Real CAGR</t>
  </si>
  <si>
    <t xml:space="preserve">Share of FY20 total</t>
  </si>
  <si>
    <t xml:space="preserve">Sun Pharmaceutical Inds. Ltd.</t>
  </si>
  <si>
    <t xml:space="preserve">Aurobindo Pharma Ltd.</t>
  </si>
  <si>
    <t xml:space="preserve">Cipla Ltd.</t>
  </si>
  <si>
    <t xml:space="preserve">Mylan Laboratories Ltd.</t>
  </si>
  <si>
    <t xml:space="preserve">Dr. Reddy'S Laboratories Ltd.</t>
  </si>
  <si>
    <t xml:space="preserve">Lupin Ltd.</t>
  </si>
  <si>
    <t xml:space="preserve">Hetero Labs Ltd.</t>
  </si>
  <si>
    <t xml:space="preserve">Alkem Laboratories Ltd.</t>
  </si>
  <si>
    <t xml:space="preserve">Glenmark Pharmaceuticals Ltd.</t>
  </si>
  <si>
    <t xml:space="preserve">Torrent Pharmaceuticals Ltd.</t>
  </si>
  <si>
    <t xml:space="preserve">Zydus Lifesciences Ltd.</t>
  </si>
  <si>
    <t xml:space="preserve">Divi'S Laboratories Ltd.</t>
  </si>
  <si>
    <t xml:space="preserve">Macleods Pharmaceuticals Ltd.</t>
  </si>
  <si>
    <t xml:space="preserve">Serum Institute Of India Pvt. Ltd.</t>
  </si>
  <si>
    <t xml:space="preserve">Ipca Laboratories Ltd.</t>
  </si>
  <si>
    <t xml:space="preserve">Glaxosmithkline Pharmaceuticals Ltd.</t>
  </si>
  <si>
    <t xml:space="preserve">Sanofi India Ltd.</t>
  </si>
  <si>
    <t xml:space="preserve">Laurus Labs Ltd.</t>
  </si>
  <si>
    <t xml:space="preserve">Nectar Lifesciences Ltd.</t>
  </si>
  <si>
    <t xml:space="preserve">Abbott India Ltd.</t>
  </si>
  <si>
    <t xml:space="preserve">Top 10 share of FY20 pharma sales</t>
  </si>
  <si>
    <t xml:space="preserve">Wholesale Price Index — Pharma vs economy (spliced, 2011-12 = 100)</t>
  </si>
  <si>
    <t xml:space="preserve">CMIE column</t>
  </si>
  <si>
    <t xml:space="preserve">WPI Pharmaceuticals (Drugs &amp; medicines)</t>
  </si>
  <si>
    <t xml:space="preserve">WPI All commodities</t>
  </si>
  <si>
    <t xml:space="preserve">WPI Manufactured products</t>
  </si>
  <si>
    <t xml:space="preserve">All-commodity inflation</t>
  </si>
  <si>
    <t>2009-10</t>
  </si>
  <si>
    <t xml:space="preserve">Mar 2010</t>
  </si>
  <si>
    <t xml:space="preserve">Pharma WPI CAGR FY10-20</t>
  </si>
  <si>
    <t>2010-11</t>
  </si>
  <si>
    <t xml:space="preserve">Mar 2011</t>
  </si>
  <si>
    <t xml:space="preserve">Pharma WPI CAGR (used for real)</t>
  </si>
  <si>
    <t>2011-12</t>
  </si>
  <si>
    <t xml:space="preserve">Mar 2012</t>
  </si>
  <si>
    <t xml:space="preserve">All-commodity WPI CAGR FY10-20</t>
  </si>
  <si>
    <t>2012-13</t>
  </si>
  <si>
    <t xml:space="preserve">Mar 2013</t>
  </si>
  <si>
    <t>2013-14</t>
  </si>
  <si>
    <t xml:space="preserve">Mar 2014</t>
  </si>
  <si>
    <t>2014-15</t>
  </si>
  <si>
    <t xml:space="preserve">Mar 2015</t>
  </si>
  <si>
    <t>2015-16</t>
  </si>
  <si>
    <t xml:space="preserve">Mar 2016</t>
  </si>
  <si>
    <t>2016-17</t>
  </si>
  <si>
    <t xml:space="preserve">Mar 2017</t>
  </si>
  <si>
    <t>2017-18</t>
  </si>
  <si>
    <t xml:space="preserve">Mar 2018</t>
  </si>
  <si>
    <t>2018-19</t>
  </si>
  <si>
    <t xml:space="preserve">Mar 2019</t>
  </si>
  <si>
    <t>2019-20</t>
  </si>
  <si>
    <t xml:space="preserve">Mar 2020</t>
  </si>
  <si>
    <t>2020-21</t>
  </si>
  <si>
    <t xml:space="preserve">Mar 2021</t>
  </si>
  <si>
    <t xml:space="preserve">Source: Office of Economic Adviser, DPIIT (eaindustry.nic.in) annual financial-year WPI files.</t>
  </si>
  <si>
    <t xml:space="preserve">2012-13 onward: Base 2011-12 series, "Manufacture of pharmaceuticals, medicinal chemical and botanical products" (code 1311000000).</t>
  </si>
  <si>
    <t xml:space="preserve">2009-10 to 2011-12: Base 2004-05 series "Drugs &amp; medicines" (code 1308060000), rescaled so 2011-12 = 100. All-commodity/Manufactured rescaled the same way.</t>
  </si>
  <si>
    <t xml:space="preserve">2020-21 index included for reference; the CMIE sales file supplied ends at Mar 2020, so FY2021 sales are not in this analysis.</t>
  </si>
  <si>
    <t>Company</t>
  </si>
  <si>
    <t xml:space="preserve">Size quartile (FY10 sales)</t>
  </si>
  <si>
    <t xml:space="preserve">CAGR FY10-20</t>
  </si>
  <si>
    <t xml:space="preserve">Real CAGR (pharma WPI)</t>
  </si>
  <si>
    <t xml:space="preserve">Beat pharma inflation?</t>
  </si>
  <si>
    <t xml:space="preserve">FY20 growth</t>
  </si>
  <si>
    <t xml:space="preserve">Aarti Drugs Ltd.</t>
  </si>
  <si>
    <t xml:space="preserve">Agio Pharmaceuticals Ltd.</t>
  </si>
  <si>
    <t xml:space="preserve">Agog Pharma Ltd.</t>
  </si>
  <si>
    <t xml:space="preserve">Agribiotech Industries Ltd.</t>
  </si>
  <si>
    <t xml:space="preserve">Ahlcon Parenterals (India) Ltd.</t>
  </si>
  <si>
    <t xml:space="preserve">Aimil Pharmaceuticals (India) Ltd.</t>
  </si>
  <si>
    <t xml:space="preserve">Ajanta Pharma Ltd.</t>
  </si>
  <si>
    <t xml:space="preserve">Akums Drugs &amp; Pharmaceuticals Ltd.</t>
  </si>
  <si>
    <t xml:space="preserve">Alpa Laboratories Ltd.</t>
  </si>
  <si>
    <t xml:space="preserve">Alta Laboratories Ltd.</t>
  </si>
  <si>
    <t xml:space="preserve">Ami Lifesciences Pvt. Ltd.</t>
  </si>
  <si>
    <t xml:space="preserve">Amrutanjan Health Care Ltd.</t>
  </si>
  <si>
    <t xml:space="preserve">Anan Drug &amp; Chem Ltd.</t>
  </si>
  <si>
    <t xml:space="preserve">Anuh Pharma Ltd.</t>
  </si>
  <si>
    <t xml:space="preserve">Arch Pharmalabs Ltd.</t>
  </si>
  <si>
    <t xml:space="preserve">Arya Vaidya Pharmacy (Coimbatore) Ltd.</t>
  </si>
  <si>
    <t xml:space="preserve">Arysta Lifescience India Ltd.</t>
  </si>
  <si>
    <t xml:space="preserve">Astec Lifesciences Ltd.</t>
  </si>
  <si>
    <t xml:space="preserve">Astrazeneca Pharma India Ltd.</t>
  </si>
  <si>
    <t xml:space="preserve">Auro Laboratories Ltd.</t>
  </si>
  <si>
    <t xml:space="preserve">Axa Parenterals Ltd.</t>
  </si>
  <si>
    <t xml:space="preserve">Bafna Pharmaceuticals Ltd.</t>
  </si>
  <si>
    <t xml:space="preserve">Bal Pharma Ltd.</t>
  </si>
  <si>
    <t xml:space="preserve">Bengal Chemicals &amp; Pharmaceuticals Ltd.</t>
  </si>
  <si>
    <t xml:space="preserve">Beryl Drugs Ltd.</t>
  </si>
  <si>
    <t xml:space="preserve">Bharat Biotech Intl. Ltd.</t>
  </si>
  <si>
    <t xml:space="preserve">Bharat Serums &amp; Vaccines Ltd. [Merged]</t>
  </si>
  <si>
    <t xml:space="preserve">Biocon Ltd.</t>
  </si>
  <si>
    <t xml:space="preserve">Biofil Chemicals &amp; Pharmaceuticals Ltd.</t>
  </si>
  <si>
    <t xml:space="preserve">Bliss G V S Pharma Ltd.</t>
  </si>
  <si>
    <t xml:space="preserve">Brooks Laboratories Ltd.</t>
  </si>
  <si>
    <t xml:space="preserve">Cadila Pharmaceuticals Ltd.</t>
  </si>
  <si>
    <t xml:space="preserve">Caplin Point Laboratories Ltd.</t>
  </si>
  <si>
    <t xml:space="preserve">Celon Laboratories Pvt. Ltd.</t>
  </si>
  <si>
    <t xml:space="preserve">Colinz Laboratories Ltd.</t>
  </si>
  <si>
    <t xml:space="preserve">Concept Pharmaceuticals Ltd.</t>
  </si>
  <si>
    <t xml:space="preserve">Concord Biotech Ltd.</t>
  </si>
  <si>
    <t xml:space="preserve">Concord Drugs Ltd.</t>
  </si>
  <si>
    <t xml:space="preserve">Coral Laboratories Ltd.</t>
  </si>
  <si>
    <t xml:space="preserve">Corvine Chemicals &amp; Pharmaceuticals Pvt. Ltd.</t>
  </si>
  <si>
    <t xml:space="preserve">Dalas Biotech Ltd.</t>
  </si>
  <si>
    <t xml:space="preserve">Dinesh Remedies Ltd.</t>
  </si>
  <si>
    <t xml:space="preserve">East India Pharmaceutical Works Ltd.</t>
  </si>
  <si>
    <t xml:space="preserve">Emcure Pharmaceuticals Ltd.</t>
  </si>
  <si>
    <t xml:space="preserve">Erawat Pharma Ltd.</t>
  </si>
  <si>
    <t xml:space="preserve">F D C Ltd.</t>
  </si>
  <si>
    <t xml:space="preserve">Flamingo Pharmaceuticals Ltd.</t>
  </si>
  <si>
    <t xml:space="preserve">Fredun Pharmaceuticals Ltd.</t>
  </si>
  <si>
    <t xml:space="preserve">Gennex Laboratories Ltd.</t>
  </si>
  <si>
    <t xml:space="preserve">Gennova Biopharmaceuticals Ltd.</t>
  </si>
  <si>
    <t xml:space="preserve">Geno Pharmaceuticals Pvt. Ltd.</t>
  </si>
  <si>
    <t xml:space="preserve">Gland Pharma Ltd.</t>
  </si>
  <si>
    <t xml:space="preserve">Goa Antibiotics &amp; Pharmaceuticals Ltd.</t>
  </si>
  <si>
    <t xml:space="preserve">Godavari Drugs Ltd.</t>
  </si>
  <si>
    <t xml:space="preserve">Goodcare Pharma Pvt. Ltd.</t>
  </si>
  <si>
    <t xml:space="preserve">Gracure Pharmaceuticals Ltd.</t>
  </si>
  <si>
    <t xml:space="preserve">Granules India Ltd.</t>
  </si>
  <si>
    <t xml:space="preserve">Greensignal Bio Pharma Pvt. Ltd.</t>
  </si>
  <si>
    <t xml:space="preserve">Gujarat Terce Laboratories Ltd.</t>
  </si>
  <si>
    <t xml:space="preserve">Haffkine Ajintha Pharmaceuticals Ltd.</t>
  </si>
  <si>
    <t xml:space="preserve">Hetero Drugs Ltd.</t>
  </si>
  <si>
    <t xml:space="preserve">Hikal Ltd.</t>
  </si>
  <si>
    <t xml:space="preserve">Himalaya Communications Pvt. Ltd.</t>
  </si>
  <si>
    <t xml:space="preserve">I O L Chemicals &amp; Pharmaceuticals Ltd.</t>
  </si>
  <si>
    <t xml:space="preserve">Ind-Swift Laboratories Ltd.</t>
  </si>
  <si>
    <t xml:space="preserve">Indoco Remedies Ltd.</t>
  </si>
  <si>
    <t xml:space="preserve">Ishita Drugs &amp; Inds. Ltd.</t>
  </si>
  <si>
    <t xml:space="preserve">J B Chemicals &amp; Pharmaceuticals Ltd. [Merged]</t>
  </si>
  <si>
    <t xml:space="preserve">J H S Svendgaard Laboratories Ltd.</t>
  </si>
  <si>
    <t xml:space="preserve">Jagsonpal Pharmaceuticals Ltd.</t>
  </si>
  <si>
    <t xml:space="preserve">Jenburkt Pharmaceuticals Ltd.</t>
  </si>
  <si>
    <t xml:space="preserve">Jindal Drugs Pvt. Ltd.</t>
  </si>
  <si>
    <t xml:space="preserve">Karnataka Antibiotics &amp; Pharmaceuticals Ltd.</t>
  </si>
  <si>
    <t xml:space="preserve">Kilitch Drugs (India) Ltd.</t>
  </si>
  <si>
    <t xml:space="preserve">Lee Pharma Ltd.</t>
  </si>
  <si>
    <t xml:space="preserve">Lincoln Pharmaceuticals Ltd.</t>
  </si>
  <si>
    <t xml:space="preserve">Link Pharma Chem Ltd.</t>
  </si>
  <si>
    <t xml:space="preserve">Malladi Drugs &amp; Pharmaceuticals Ltd.</t>
  </si>
  <si>
    <t xml:space="preserve">Mangalam Drugs &amp; Organics Ltd.</t>
  </si>
  <si>
    <t xml:space="preserve">Martin &amp; Harris Laboratories Ltd.</t>
  </si>
  <si>
    <t xml:space="preserve">Medicamen Biotech Ltd.</t>
  </si>
  <si>
    <t xml:space="preserve">Medley Pharmaceuticals Ltd.</t>
  </si>
  <si>
    <t xml:space="preserve">Medopharm Pvt. Ltd.</t>
  </si>
  <si>
    <t xml:space="preserve">Morepen Laboratories Ltd.</t>
  </si>
  <si>
    <t xml:space="preserve">Multani Pharmaceuticals Ltd.</t>
  </si>
  <si>
    <t xml:space="preserve">Natco Pharma Ltd.</t>
  </si>
  <si>
    <t xml:space="preserve">Neuland Laboratories Ltd.</t>
  </si>
  <si>
    <t xml:space="preserve">Orchid Pharma Ltd.</t>
  </si>
  <si>
    <t xml:space="preserve">Panacea Biotec Ltd.</t>
  </si>
  <si>
    <t xml:space="preserve">Parenteral Drugs (India) Ltd.</t>
  </si>
  <si>
    <t xml:space="preserve">Penam Laboratories Ltd.</t>
  </si>
  <si>
    <t xml:space="preserve">Pfizer Ltd.</t>
  </si>
  <si>
    <t xml:space="preserve">R P G Life Sciences Ltd.</t>
  </si>
  <si>
    <t xml:space="preserve">Rossari Biotech Ltd.</t>
  </si>
  <si>
    <t xml:space="preserve">S M S Pharmaceuticals Ltd.</t>
  </si>
  <si>
    <t xml:space="preserve">Samrat Pharmachem Ltd.</t>
  </si>
  <si>
    <t xml:space="preserve">Scott Edil Pharmacia Ltd.</t>
  </si>
  <si>
    <t xml:space="preserve">Shilpa Medicare Ltd.</t>
  </si>
  <si>
    <t xml:space="preserve">Shine Pharmaceuticals Ltd.</t>
  </si>
  <si>
    <t xml:space="preserve">Shiva Pharmachem Ltd.</t>
  </si>
  <si>
    <t xml:space="preserve">Shodhana Laboratories Pvt. Ltd.</t>
  </si>
  <si>
    <t xml:space="preserve">Shree Ganesh Remedies Ltd.</t>
  </si>
  <si>
    <t xml:space="preserve">Srini Pharmaceuticals Pvt. Ltd.</t>
  </si>
  <si>
    <t xml:space="preserve">Strides Pharma Science Ltd.</t>
  </si>
  <si>
    <t xml:space="preserve">Syncom Formulations (India) Ltd.</t>
  </si>
  <si>
    <t xml:space="preserve">Theon Pharmaceuticals Ltd.</t>
  </si>
  <si>
    <t xml:space="preserve">Theta Pharmaceuticals Ltd.</t>
  </si>
  <si>
    <t xml:space="preserve">Titan Biotech Ltd.</t>
  </si>
  <si>
    <t xml:space="preserve">Unichem Laboratories Ltd.</t>
  </si>
  <si>
    <t xml:space="preserve">Unidrug Innovative Pharma Technologies Ltd.</t>
  </si>
  <si>
    <t xml:space="preserve">Unique Biotech Ltd.</t>
  </si>
  <si>
    <t xml:space="preserve">Unjha Formulations Ltd.</t>
  </si>
  <si>
    <t xml:space="preserve">Vasudha Pharma Chem Ltd.</t>
  </si>
  <si>
    <t xml:space="preserve">Venus Remedies Ltd.</t>
  </si>
  <si>
    <t xml:space="preserve">Vista Pharmaceuticals Ltd.</t>
  </si>
  <si>
    <t xml:space="preserve">Wanbury Ltd.</t>
  </si>
  <si>
    <t xml:space="preserve">Windlas Biotech Ltd.</t>
  </si>
  <si>
    <t xml:space="preserve">Wockhardt Ltd.</t>
  </si>
  <si>
    <t xml:space="preserve">Zim Laboratories Ltd.</t>
  </si>
  <si>
    <t xml:space="preserve">Zydus Wellness Ltd.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</si>
</sst>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0.00\x"/>
    <numFmt numFmtId="166" formatCode="0.0"/>
  </numFmts>
  <fonts count="7">
    <font>
      <sz val="11.000000"/>
      <color theme="1"/>
      <name val="Calibri"/>
    </font>
    <font>
      <sz val="10.000000"/>
      <name val="Arial"/>
    </font>
    <font>
      <b/>
      <sz val="14.000000"/>
      <color rgb="FF0B5345"/>
      <name val="Arial"/>
    </font>
    <font>
      <sz val="11.000000"/>
      <color theme="1"/>
      <name val="Arial"/>
    </font>
    <font>
      <b/>
      <sz val="11.000000"/>
      <name val="Arial"/>
    </font>
    <font>
      <b/>
      <sz val="12.000000"/>
      <name val="Arial"/>
    </font>
    <font>
      <b/>
      <sz val="11.000000"/>
      <color indexed="65"/>
      <name val="Arial"/>
    </font>
  </fonts>
  <fills count="3">
    <fill>
      <patternFill patternType="none"/>
    </fill>
    <fill>
      <patternFill patternType="gray125"/>
    </fill>
    <fill>
      <patternFill patternType="solid">
        <fgColor rgb="FF0B5345"/>
        <bgColor indexed="63"/>
      </patternFill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17">
    <xf fontId="0" fillId="0" borderId="0" numFmtId="0" xfId="0" applyProtection="0">
      <protection hidden="0" locked="1"/>
    </xf>
    <xf fontId="2" fillId="0" borderId="0" numFmtId="0" xfId="0" applyFont="1" applyProtection="0">
      <protection hidden="0" locked="1"/>
    </xf>
    <xf fontId="3" fillId="0" borderId="0" numFmtId="0" xfId="0" applyFont="1" applyProtection="0">
      <protection hidden="0" locked="1"/>
    </xf>
    <xf fontId="4" fillId="0" borderId="0" numFmtId="0" xfId="0" applyFont="1" applyProtection="0">
      <protection hidden="0" locked="1"/>
    </xf>
    <xf fontId="4" fillId="0" borderId="0" numFmtId="1" xfId="0" applyNumberFormat="1" applyFont="1" applyProtection="0">
      <protection hidden="0" locked="1"/>
    </xf>
    <xf fontId="4" fillId="0" borderId="0" numFmtId="164" xfId="0" applyNumberFormat="1" applyFont="1" applyProtection="0">
      <protection hidden="0" locked="1"/>
    </xf>
    <xf fontId="4" fillId="0" borderId="0" numFmtId="165" xfId="0" applyNumberFormat="1" applyFont="1" applyProtection="0">
      <protection hidden="0" locked="1"/>
    </xf>
    <xf fontId="4" fillId="0" borderId="0" numFmtId="9" xfId="0" applyNumberFormat="1" applyFont="1" applyProtection="0">
      <protection hidden="0" locked="1"/>
    </xf>
    <xf fontId="4" fillId="0" borderId="0" numFmtId="2" xfId="0" applyNumberFormat="1" applyFont="1" applyProtection="0">
      <protection hidden="0" locked="1"/>
    </xf>
    <xf fontId="3" fillId="0" borderId="0" numFmtId="0" xfId="0" applyFont="1" applyAlignment="1" applyProtection="0">
      <alignment vertical="top" wrapText="1"/>
      <protection hidden="0" locked="1"/>
    </xf>
    <xf fontId="5" fillId="0" borderId="0" numFmtId="0" xfId="0" applyFont="1" applyProtection="0">
      <protection hidden="0" locked="1"/>
    </xf>
    <xf fontId="6" fillId="2" borderId="0" numFmtId="0" xfId="0" applyFont="1" applyFill="1" applyAlignment="1" applyProtection="0">
      <alignment horizontal="center" vertical="center" wrapText="1"/>
      <protection hidden="0" locked="1"/>
    </xf>
    <xf fontId="3" fillId="0" borderId="0" numFmtId="3" xfId="0" applyNumberFormat="1" applyFont="1" applyProtection="0">
      <protection hidden="0" locked="1"/>
    </xf>
    <xf fontId="3" fillId="0" borderId="0" numFmtId="166" xfId="0" applyNumberFormat="1" applyFont="1" applyProtection="0">
      <protection hidden="0" locked="1"/>
    </xf>
    <xf fontId="3" fillId="0" borderId="0" numFmtId="164" xfId="0" applyNumberFormat="1" applyFont="1" applyProtection="0">
      <protection hidden="0" locked="1"/>
    </xf>
    <xf fontId="3" fillId="0" borderId="0" numFmtId="9" xfId="0" applyNumberFormat="1" applyFont="1" applyProtection="0">
      <protection hidden="0" locked="1"/>
    </xf>
    <xf fontId="3" fillId="0" borderId="0" numFmtId="10" xfId="0" applyNumberFormat="1" applyFont="1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/Relationships>
</file>

<file path=xl/charts/_rels/chart2.xml.rels><?xml version="1.0" encoding="UTF-8" standalone="yes"?><Relationships xmlns="http://schemas.openxmlformats.org/package/2006/relationships"></Relationships>
</file>

<file path=xl/charts/_rels/chart3.xml.rels><?xml version="1.0" encoding="UTF-8" standalone="yes"?><Relationships xmlns="http://schemas.openxmlformats.org/package/2006/relationships"></Relationships>
</file>

<file path=xl/charts/_rels/chart4.xml.rels><?xml version="1.0" encoding="UTF-8" standalone="yes"?><Relationships xmlns="http://schemas.openxmlformats.org/package/2006/relationships"></Relationships>
</file>

<file path=xl/charts/_rels/chart5.xml.rels><?xml version="1.0" encoding="UTF-8" standalone="yes"?><Relationships xmlns="http://schemas.openxmlformats.org/package/2006/relationships"></Relationships>
</file>

<file path=xl/charts/_rels/chart6.xml.rels><?xml version="1.0" encoding="UTF-8" standalone="yes"?><Relationships xmlns="http://schemas.openxmlformats.org/package/2006/relationships"></Relationships>
</file>

<file path=xl/charts/_rels/chart7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Pharma vs economy: yearly sales growth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'Yearly Analysis'!F3</c:f>
              <c:strCache>
                <c:ptCount val="1"/>
                <c:pt idx="0">
                  <c:v>Nominal growth</c:v>
                </c:pt>
              </c:strCache>
            </c:strRef>
          </c:tx>
          <c:spPr bwMode="auto">
            <a:prstGeom prst="rect">
              <a:avLst/>
            </a:prstGeom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eparator xml:space="preserve">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/>
              </a:p>
            </c:txPr>
          </c:dLbls>
          <c:cat>
            <c:strRef>
              <c:f>'Yearly Analysis'!$A$5:$A$14</c:f>
              <c:strCache>
                <c:ptCount val="10"/>
                <c:pt idx="0">
                  <c:v>FY2011</c:v>
                </c:pt>
                <c:pt idx="1">
                  <c:v>FY2012</c:v>
                </c:pt>
                <c:pt idx="2">
                  <c:v>FY2013</c:v>
                </c:pt>
                <c:pt idx="3">
                  <c:v>FY2014</c:v>
                </c:pt>
                <c:pt idx="4">
                  <c:v>FY2015</c:v>
                </c:pt>
                <c:pt idx="5">
                  <c:v>FY2016</c:v>
                </c:pt>
                <c:pt idx="6">
                  <c:v>FY2017</c:v>
                </c:pt>
                <c:pt idx="7">
                  <c:v>FY2018</c:v>
                </c:pt>
                <c:pt idx="8">
                  <c:v>FY2019</c:v>
                </c:pt>
                <c:pt idx="9">
                  <c:v>FY2020</c:v>
                </c:pt>
              </c:strCache>
            </c:strRef>
          </c:cat>
          <c:val>
            <c:numRef>
              <c:f>'Yearly Analysis'!$F$4:$F$14</c:f>
              <c:numCache>
                <c:formatCode>0.0%</c:formatCode>
                <c:ptCount val="11"/>
                <c:pt idx="1">
                  <c:v>0.185799235887524</c:v>
                </c:pt>
                <c:pt idx="2">
                  <c:v>0.213227970419867</c:v>
                </c:pt>
                <c:pt idx="3">
                  <c:v>0.193633407208567</c:v>
                </c:pt>
                <c:pt idx="4">
                  <c:v>0.160683663395507</c:v>
                </c:pt>
                <c:pt idx="5">
                  <c:v>0.154521455484751</c:v>
                </c:pt>
                <c:pt idx="6">
                  <c:v>0.131299610745449</c:v>
                </c:pt>
                <c:pt idx="7">
                  <c:v>0.00342929832341743</c:v>
                </c:pt>
                <c:pt idx="8">
                  <c:v>0.0183693601048602</c:v>
                </c:pt>
                <c:pt idx="9">
                  <c:v>0.135145705002787</c:v>
                </c:pt>
                <c:pt idx="10">
                  <c:v>0.0810119506133644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'Yearly Analysis'!G3</c:f>
              <c:strCache>
                <c:ptCount val="1"/>
                <c:pt idx="0">
                  <c:v>Real growth</c:v>
                </c:pt>
              </c:strCache>
            </c:strRef>
          </c:tx>
          <c:spPr bwMode="auto">
            <a:prstGeom prst="rect">
              <a:avLst/>
            </a:prstGeom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eparator xml:space="preserve">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/>
              </a:p>
            </c:txPr>
          </c:dLbls>
          <c:cat>
            <c:strRef>
              <c:f>'Yearly Analysis'!$A$5:$A$14</c:f>
              <c:strCache>
                <c:ptCount val="10"/>
                <c:pt idx="0">
                  <c:v>FY2011</c:v>
                </c:pt>
                <c:pt idx="1">
                  <c:v>FY2012</c:v>
                </c:pt>
                <c:pt idx="2">
                  <c:v>FY2013</c:v>
                </c:pt>
                <c:pt idx="3">
                  <c:v>FY2014</c:v>
                </c:pt>
                <c:pt idx="4">
                  <c:v>FY2015</c:v>
                </c:pt>
                <c:pt idx="5">
                  <c:v>FY2016</c:v>
                </c:pt>
                <c:pt idx="6">
                  <c:v>FY2017</c:v>
                </c:pt>
                <c:pt idx="7">
                  <c:v>FY2018</c:v>
                </c:pt>
                <c:pt idx="8">
                  <c:v>FY2019</c:v>
                </c:pt>
                <c:pt idx="9">
                  <c:v>FY2020</c:v>
                </c:pt>
              </c:strCache>
            </c:strRef>
          </c:cat>
          <c:val>
            <c:numRef>
              <c:f>'Yearly Analysis'!$G$4:$G$14</c:f>
              <c:numCache>
                <c:formatCode>0.0%</c:formatCode>
                <c:ptCount val="11"/>
                <c:pt idx="1">
                  <c:v>0.1582625337479</c:v>
                </c:pt>
                <c:pt idx="2">
                  <c:v>0.170279700267004</c:v>
                </c:pt>
                <c:pt idx="3">
                  <c:v>0.138963174817334</c:v>
                </c:pt>
                <c:pt idx="4">
                  <c:v>0.123173111023538</c:v>
                </c:pt>
                <c:pt idx="5">
                  <c:v>0.0920058832226947</c:v>
                </c:pt>
                <c:pt idx="6">
                  <c:v>0.0912704754031497</c:v>
                </c:pt>
                <c:pt idx="7">
                  <c:v>-0.00495356966591776</c:v>
                </c:pt>
                <c:pt idx="8">
                  <c:v>0.0057657789154435</c:v>
                </c:pt>
                <c:pt idx="9">
                  <c:v>0.11400533964646</c:v>
                </c:pt>
                <c:pt idx="10">
                  <c:v>0.048742937162219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'Yearly Analysis'!H3</c:f>
              <c:strCache>
                <c:ptCount val="1"/>
                <c:pt idx="0">
                  <c:v>Pharma inflation</c:v>
                </c:pt>
              </c:strCache>
            </c:strRef>
          </c:tx>
          <c:spPr bwMode="auto">
            <a:prstGeom prst="rect">
              <a:avLst/>
            </a:prstGeom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eparator xml:space="preserve">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/>
              </a:p>
            </c:txPr>
          </c:dLbls>
          <c:cat>
            <c:strRef>
              <c:f>'Yearly Analysis'!$A$5:$A$14</c:f>
              <c:strCache>
                <c:ptCount val="10"/>
                <c:pt idx="0">
                  <c:v>FY2011</c:v>
                </c:pt>
                <c:pt idx="1">
                  <c:v>FY2012</c:v>
                </c:pt>
                <c:pt idx="2">
                  <c:v>FY2013</c:v>
                </c:pt>
                <c:pt idx="3">
                  <c:v>FY2014</c:v>
                </c:pt>
                <c:pt idx="4">
                  <c:v>FY2015</c:v>
                </c:pt>
                <c:pt idx="5">
                  <c:v>FY2016</c:v>
                </c:pt>
                <c:pt idx="6">
                  <c:v>FY2017</c:v>
                </c:pt>
                <c:pt idx="7">
                  <c:v>FY2018</c:v>
                </c:pt>
                <c:pt idx="8">
                  <c:v>FY2019</c:v>
                </c:pt>
                <c:pt idx="9">
                  <c:v>FY2020</c:v>
                </c:pt>
              </c:strCache>
            </c:strRef>
          </c:cat>
          <c:val>
            <c:numRef>
              <c:f>'Yearly Analysis'!$H$4:$H$14</c:f>
              <c:numCache>
                <c:formatCode>0.0%</c:formatCode>
                <c:ptCount val="11"/>
                <c:pt idx="1">
                  <c:v>0.0237741456166418</c:v>
                </c:pt>
                <c:pt idx="2">
                  <c:v>0.0366991499066971</c:v>
                </c:pt>
                <c:pt idx="3">
                  <c:v>0.048</c:v>
                </c:pt>
                <c:pt idx="4">
                  <c:v>0.0333969465648856</c:v>
                </c:pt>
                <c:pt idx="5">
                  <c:v>0.0572483841181903</c:v>
                </c:pt>
                <c:pt idx="6">
                  <c:v>0.0366812227074236</c:v>
                </c:pt>
                <c:pt idx="7">
                  <c:v>0.00842459983150801</c:v>
                </c:pt>
                <c:pt idx="8">
                  <c:v>0.0125313283208019</c:v>
                </c:pt>
                <c:pt idx="9">
                  <c:v>0.0189768976897688</c:v>
                </c:pt>
                <c:pt idx="10">
                  <c:v>0.0307692307692307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'Yearly Analysis'!I3</c:f>
              <c:strCache>
                <c:ptCount val="1"/>
                <c:pt idx="0">
                  <c:v>All-industry sales growth*</c:v>
                </c:pt>
              </c:strCache>
            </c:strRef>
          </c:tx>
          <c:spPr bwMode="auto">
            <a:prstGeom prst="rect">
              <a:avLst/>
            </a:prstGeom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eparator xml:space="preserve">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/>
              </a:p>
            </c:txPr>
          </c:dLbls>
          <c:cat>
            <c:strRef>
              <c:f>'Yearly Analysis'!$A$5:$A$14</c:f>
              <c:strCache>
                <c:ptCount val="10"/>
                <c:pt idx="0">
                  <c:v>FY2011</c:v>
                </c:pt>
                <c:pt idx="1">
                  <c:v>FY2012</c:v>
                </c:pt>
                <c:pt idx="2">
                  <c:v>FY2013</c:v>
                </c:pt>
                <c:pt idx="3">
                  <c:v>FY2014</c:v>
                </c:pt>
                <c:pt idx="4">
                  <c:v>FY2015</c:v>
                </c:pt>
                <c:pt idx="5">
                  <c:v>FY2016</c:v>
                </c:pt>
                <c:pt idx="6">
                  <c:v>FY2017</c:v>
                </c:pt>
                <c:pt idx="7">
                  <c:v>FY2018</c:v>
                </c:pt>
                <c:pt idx="8">
                  <c:v>FY2019</c:v>
                </c:pt>
                <c:pt idx="9">
                  <c:v>FY2020</c:v>
                </c:pt>
              </c:strCache>
            </c:strRef>
          </c:cat>
          <c:val>
            <c:numRef>
              <c:f>'Yearly Analysis'!$I$4:$I$14</c:f>
              <c:numCache>
                <c:formatCode>0.0%</c:formatCode>
                <c:ptCount val="11"/>
                <c:pt idx="1">
                  <c:v>0.2252</c:v>
                </c:pt>
                <c:pt idx="2">
                  <c:v>0.2078</c:v>
                </c:pt>
                <c:pt idx="3">
                  <c:v>0.1036</c:v>
                </c:pt>
                <c:pt idx="4">
                  <c:v>0.0734</c:v>
                </c:pt>
                <c:pt idx="5">
                  <c:v>0.0132</c:v>
                </c:pt>
                <c:pt idx="6">
                  <c:v>-0.0351</c:v>
                </c:pt>
                <c:pt idx="7">
                  <c:v>0.0754</c:v>
                </c:pt>
                <c:pt idx="8">
                  <c:v>0.0806</c:v>
                </c:pt>
                <c:pt idx="9">
                  <c:v>0.1523</c:v>
                </c:pt>
                <c:pt idx="10">
                  <c:v>-0.0651</c:v>
                </c:pt>
              </c:numCache>
            </c:numRef>
          </c:val>
          <c:smooth val="1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hiLowLines>
          <c:spPr bwMode="auto">
            <a:prstGeom prst="rect">
              <a:avLst/>
            </a:prstGeom>
            <a:ln w="0">
              <a:noFill/>
            </a:ln>
          </c:spPr>
        </c:hiLowLines>
        <c:marker val="0"/>
        <c:smooth val="0"/>
        <c:axId val="60616733"/>
        <c:axId val="76294971"/>
      </c:lineChart>
      <c:catAx>
        <c:axId val="606167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76294971"/>
        <c:crosses val="autoZero"/>
        <c:auto val="1"/>
        <c:lblAlgn val="ctr"/>
        <c:lblOffset val="100"/>
        <c:noMultiLvlLbl val="0"/>
      </c:catAx>
      <c:valAx>
        <c:axId val="76294971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60616733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legend>
      <c:legendPos val="r"/>
      <c:layout/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/>
        </a:p>
      </c:txPr>
    </c:legend>
    <c:plotVisOnly val="1"/>
    <c:dispBlanksAs val="gap"/>
    <c:showDLblsOverMax val="0"/>
  </c:chart>
  <c:spPr bwMode="auto">
    <a:xfrm rot="0">
      <a:off x="0" y="5715000"/>
      <a:ext cx="7199640" cy="323964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Pharma sales: nominal vs real (Rs crore)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'Yearly Analysis'!C3</c:f>
              <c:strCache>
                <c:ptCount val="1"/>
                <c:pt idx="0">
                  <c:v>Total sales (Rs cr)</c:v>
                </c:pt>
              </c:strCache>
            </c:strRef>
          </c:tx>
          <c:spPr bwMode="auto">
            <a:prstGeom prst="rect">
              <a:avLst/>
            </a:prstGeom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eparator xml:space="preserve">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/>
              </a:p>
            </c:txPr>
          </c:dLbls>
          <c:cat>
            <c:strRef>
              <c:f>'Yearly Analysis'!$A$4:$A$14</c:f>
              <c:strCache>
                <c:ptCount val="11"/>
                <c:pt idx="0">
                  <c:v>FY2010</c:v>
                </c:pt>
                <c:pt idx="1">
                  <c:v>FY2011</c:v>
                </c:pt>
                <c:pt idx="2">
                  <c:v>FY2012</c:v>
                </c:pt>
                <c:pt idx="3">
                  <c:v>FY2013</c:v>
                </c:pt>
                <c:pt idx="4">
                  <c:v>FY2014</c:v>
                </c:pt>
                <c:pt idx="5">
                  <c:v>FY2015</c:v>
                </c:pt>
                <c:pt idx="6">
                  <c:v>FY2016</c:v>
                </c:pt>
                <c:pt idx="7">
                  <c:v>FY2017</c:v>
                </c:pt>
                <c:pt idx="8">
                  <c:v>FY2018</c:v>
                </c:pt>
                <c:pt idx="9">
                  <c:v>FY2019</c:v>
                </c:pt>
                <c:pt idx="10">
                  <c:v>FY2020</c:v>
                </c:pt>
              </c:strCache>
            </c:strRef>
          </c:cat>
          <c:val>
            <c:numRef>
              <c:f>'Yearly Analysis'!$C$4:$C$14</c:f>
              <c:numCache>
                <c:formatCode>#,##0</c:formatCode>
                <c:ptCount val="11"/>
                <c:pt idx="0">
                  <c:v>57912.94</c:v>
                </c:pt>
                <c:pt idx="1">
                  <c:v>68673.12</c:v>
                </c:pt>
                <c:pt idx="2">
                  <c:v>83316.15</c:v>
                </c:pt>
                <c:pt idx="3">
                  <c:v>99448.94</c:v>
                </c:pt>
                <c:pt idx="4">
                  <c:v>115428.76</c:v>
                </c:pt>
                <c:pt idx="5">
                  <c:v>133264.98</c:v>
                </c:pt>
                <c:pt idx="6">
                  <c:v>150762.62</c:v>
                </c:pt>
                <c:pt idx="7">
                  <c:v>151279.63</c:v>
                </c:pt>
                <c:pt idx="8">
                  <c:v>154058.54</c:v>
                </c:pt>
                <c:pt idx="9">
                  <c:v>174878.89</c:v>
                </c:pt>
                <c:pt idx="10">
                  <c:v>189046.17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'Yearly Analysis'!E3</c:f>
              <c:strCache>
                <c:ptCount val="1"/>
                <c:pt idx="0">
                  <c:v>Real sales (FY12 prices)</c:v>
                </c:pt>
              </c:strCache>
            </c:strRef>
          </c:tx>
          <c:spPr bwMode="auto">
            <a:prstGeom prst="rect">
              <a:avLst/>
            </a:prstGeom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eparator xml:space="preserve">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/>
              </a:p>
            </c:txPr>
          </c:dLbls>
          <c:cat>
            <c:strRef>
              <c:f>'Yearly Analysis'!$A$4:$A$14</c:f>
              <c:strCache>
                <c:ptCount val="11"/>
                <c:pt idx="0">
                  <c:v>FY2010</c:v>
                </c:pt>
                <c:pt idx="1">
                  <c:v>FY2011</c:v>
                </c:pt>
                <c:pt idx="2">
                  <c:v>FY2012</c:v>
                </c:pt>
                <c:pt idx="3">
                  <c:v>FY2013</c:v>
                </c:pt>
                <c:pt idx="4">
                  <c:v>FY2014</c:v>
                </c:pt>
                <c:pt idx="5">
                  <c:v>FY2015</c:v>
                </c:pt>
                <c:pt idx="6">
                  <c:v>FY2016</c:v>
                </c:pt>
                <c:pt idx="7">
                  <c:v>FY2017</c:v>
                </c:pt>
                <c:pt idx="8">
                  <c:v>FY2018</c:v>
                </c:pt>
                <c:pt idx="9">
                  <c:v>FY2019</c:v>
                </c:pt>
                <c:pt idx="10">
                  <c:v>FY2020</c:v>
                </c:pt>
              </c:strCache>
            </c:strRef>
          </c:cat>
          <c:val>
            <c:numRef>
              <c:f>'Yearly Analysis'!$E$4:$E$14</c:f>
              <c:numCache>
                <c:formatCode>#,##0</c:formatCode>
                <c:ptCount val="11"/>
                <c:pt idx="0">
                  <c:v>61465.6548503502</c:v>
                </c:pt>
                <c:pt idx="1">
                  <c:v>71193.3651254406</c:v>
                </c:pt>
                <c:pt idx="2">
                  <c:v>83316.15</c:v>
                </c:pt>
                <c:pt idx="3">
                  <c:v>94894.0267175573</c:v>
                </c:pt>
                <c:pt idx="4">
                  <c:v>106582.41920591</c:v>
                </c:pt>
                <c:pt idx="5">
                  <c:v>116388.628820961</c:v>
                </c:pt>
                <c:pt idx="6">
                  <c:v>127011.474304971</c:v>
                </c:pt>
                <c:pt idx="7">
                  <c:v>126382.31411863</c:v>
                </c:pt>
                <c:pt idx="8">
                  <c:v>127111.00660066</c:v>
                </c:pt>
                <c:pt idx="9">
                  <c:v>141602.340080972</c:v>
                </c:pt>
                <c:pt idx="10">
                  <c:v>148504.454045562</c:v>
                </c:pt>
              </c:numCache>
            </c:numRef>
          </c:val>
          <c:smooth val="1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hiLowLines>
          <c:spPr bwMode="auto">
            <a:prstGeom prst="rect">
              <a:avLst/>
            </a:prstGeom>
            <a:ln w="0">
              <a:noFill/>
            </a:ln>
          </c:spPr>
        </c:hiLowLines>
        <c:marker val="0"/>
        <c:smooth val="0"/>
        <c:axId val="47210453"/>
        <c:axId val="45070272"/>
      </c:lineChart>
      <c:catAx>
        <c:axId val="472104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45070272"/>
        <c:crosses val="autoZero"/>
        <c:auto val="1"/>
        <c:lblAlgn val="ctr"/>
        <c:lblOffset val="100"/>
        <c:noMultiLvlLbl val="0"/>
      </c:catAx>
      <c:valAx>
        <c:axId val="4507027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47210453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legend>
      <c:legendPos val="r"/>
      <c:layout/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/>
        </a:p>
      </c:txPr>
    </c:legend>
    <c:plotVisOnly val="1"/>
    <c:dispBlanksAs val="gap"/>
    <c:showDLblsOverMax val="0"/>
  </c:chart>
  <c:spPr bwMode="auto">
    <a:xfrm rot="0">
      <a:off x="9140040" y="5715000"/>
      <a:ext cx="5039640" cy="323964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Stress years: pharma vs all industry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'Yearly Analysis'!F3</c:f>
              <c:strCache>
                <c:ptCount val="1"/>
                <c:pt idx="0">
                  <c:v>Nominal growth</c:v>
                </c:pt>
              </c:strCache>
            </c:strRef>
          </c:tx>
          <c:spPr bwMode="auto">
            <a:prstGeom prst="rect">
              <a:avLst/>
            </a:prstGeom>
            <a:solidFill>
              <a:srgbClr val="4F81BD"/>
            </a:solidFill>
            <a:ln w="0">
              <a:noFill/>
            </a:ln>
          </c:spPr>
          <c:invertIfNegative val="0"/>
          <c:dLbls>
            <c:separator xml:space="preserve">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/>
              </a:p>
            </c:txPr>
          </c:dLbls>
          <c:cat>
            <c:strRef>
              <c:f>'Yearly Analysis'!$A$5:$A$14</c:f>
              <c:strCache>
                <c:ptCount val="10"/>
                <c:pt idx="0">
                  <c:v>FY2011</c:v>
                </c:pt>
                <c:pt idx="1">
                  <c:v>FY2012</c:v>
                </c:pt>
                <c:pt idx="2">
                  <c:v>FY2013</c:v>
                </c:pt>
                <c:pt idx="3">
                  <c:v>FY2014</c:v>
                </c:pt>
                <c:pt idx="4">
                  <c:v>FY2015</c:v>
                </c:pt>
                <c:pt idx="5">
                  <c:v>FY2016</c:v>
                </c:pt>
                <c:pt idx="6">
                  <c:v>FY2017</c:v>
                </c:pt>
                <c:pt idx="7">
                  <c:v>FY2018</c:v>
                </c:pt>
                <c:pt idx="8">
                  <c:v>FY2019</c:v>
                </c:pt>
                <c:pt idx="9">
                  <c:v>FY2020</c:v>
                </c:pt>
              </c:strCache>
            </c:strRef>
          </c:cat>
          <c:val>
            <c:numRef>
              <c:f>'Yearly Analysis'!$F$4:$F$14</c:f>
              <c:numCache>
                <c:formatCode>0.0%</c:formatCode>
                <c:ptCount val="11"/>
                <c:pt idx="1">
                  <c:v>0.185799235887524</c:v>
                </c:pt>
                <c:pt idx="2">
                  <c:v>0.213227970419867</c:v>
                </c:pt>
                <c:pt idx="3">
                  <c:v>0.193633407208567</c:v>
                </c:pt>
                <c:pt idx="4">
                  <c:v>0.160683663395507</c:v>
                </c:pt>
                <c:pt idx="5">
                  <c:v>0.154521455484751</c:v>
                </c:pt>
                <c:pt idx="6">
                  <c:v>0.131299610745449</c:v>
                </c:pt>
                <c:pt idx="7">
                  <c:v>0.00342929832341743</c:v>
                </c:pt>
                <c:pt idx="8">
                  <c:v>0.0183693601048602</c:v>
                </c:pt>
                <c:pt idx="9">
                  <c:v>0.135145705002787</c:v>
                </c:pt>
                <c:pt idx="10">
                  <c:v>0.0810119506133644</c:v>
                </c:pt>
              </c:numCache>
            </c:numRef>
          </c:val>
        </c:ser>
        <c:ser>
          <c:idx val="1"/>
          <c:order val="1"/>
          <c:tx>
            <c:strRef>
              <c:f>'Yearly Analysis'!I3</c:f>
              <c:strCache>
                <c:ptCount val="1"/>
                <c:pt idx="0">
                  <c:v>All-industry sales growth*</c:v>
                </c:pt>
              </c:strCache>
            </c:strRef>
          </c:tx>
          <c:spPr bwMode="auto">
            <a:prstGeom prst="rect">
              <a:avLst/>
            </a:prstGeom>
            <a:solidFill>
              <a:srgbClr val="C0504D"/>
            </a:solidFill>
            <a:ln w="0">
              <a:noFill/>
            </a:ln>
          </c:spPr>
          <c:invertIfNegative val="0"/>
          <c:dLbls>
            <c:separator xml:space="preserve">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/>
              </a:p>
            </c:txPr>
          </c:dLbls>
          <c:cat>
            <c:strRef>
              <c:f>'Yearly Analysis'!$A$5:$A$14</c:f>
              <c:strCache>
                <c:ptCount val="10"/>
                <c:pt idx="0">
                  <c:v>FY2011</c:v>
                </c:pt>
                <c:pt idx="1">
                  <c:v>FY2012</c:v>
                </c:pt>
                <c:pt idx="2">
                  <c:v>FY2013</c:v>
                </c:pt>
                <c:pt idx="3">
                  <c:v>FY2014</c:v>
                </c:pt>
                <c:pt idx="4">
                  <c:v>FY2015</c:v>
                </c:pt>
                <c:pt idx="5">
                  <c:v>FY2016</c:v>
                </c:pt>
                <c:pt idx="6">
                  <c:v>FY2017</c:v>
                </c:pt>
                <c:pt idx="7">
                  <c:v>FY2018</c:v>
                </c:pt>
                <c:pt idx="8">
                  <c:v>FY2019</c:v>
                </c:pt>
                <c:pt idx="9">
                  <c:v>FY2020</c:v>
                </c:pt>
              </c:strCache>
            </c:strRef>
          </c:cat>
          <c:val>
            <c:numRef>
              <c:f>'Yearly Analysis'!$I$4:$I$14</c:f>
              <c:numCache>
                <c:formatCode>0.0%</c:formatCode>
                <c:ptCount val="11"/>
                <c:pt idx="1">
                  <c:v>0.2252</c:v>
                </c:pt>
                <c:pt idx="2">
                  <c:v>0.2078</c:v>
                </c:pt>
                <c:pt idx="3">
                  <c:v>0.1036</c:v>
                </c:pt>
                <c:pt idx="4">
                  <c:v>0.0734</c:v>
                </c:pt>
                <c:pt idx="5">
                  <c:v>0.0132</c:v>
                </c:pt>
                <c:pt idx="6">
                  <c:v>-0.0351</c:v>
                </c:pt>
                <c:pt idx="7">
                  <c:v>0.0754</c:v>
                </c:pt>
                <c:pt idx="8">
                  <c:v>0.0806</c:v>
                </c:pt>
                <c:pt idx="9">
                  <c:v>0.1523</c:v>
                </c:pt>
                <c:pt idx="10">
                  <c:v>-0.0651</c:v>
                </c:pt>
              </c:numCache>
            </c:numRef>
          </c:val>
        </c:ser>
        <c:dLbls>
          <c:showBubbleSize val="0"/>
          <c:showCatName val="0"/>
          <c:showLegendKey val="0"/>
          <c:showPercent val="0"/>
          <c:showSerName val="0"/>
          <c:showVal val="0"/>
        </c:dLbls>
        <c:gapWidth val="150"/>
        <c:overlap val="0"/>
        <c:axId val="5632303"/>
        <c:axId val="79552200"/>
      </c:barChart>
      <c:catAx>
        <c:axId val="563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79552200"/>
        <c:crosses val="autoZero"/>
        <c:auto val="1"/>
        <c:lblAlgn val="ctr"/>
        <c:lblOffset val="100"/>
        <c:noMultiLvlLbl val="0"/>
      </c:catAx>
      <c:valAx>
        <c:axId val="7955220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5632303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legend>
      <c:legendPos val="r"/>
      <c:layout/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/>
        </a:p>
      </c:txPr>
    </c:legend>
    <c:plotVisOnly val="1"/>
    <c:dispBlanksAs val="gap"/>
    <c:showDLblsOverMax val="0"/>
  </c:chart>
  <c:spPr bwMode="auto">
    <a:xfrm rot="0">
      <a:off x="0" y="9334440"/>
      <a:ext cx="7199640" cy="323964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Aggregate CAGR by company size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'Size &amp; Distribution'!E3</c:f>
              <c:strCache>
                <c:ptCount val="1"/>
                <c:pt idx="0">
                  <c:v>Aggregate CAGR</c:v>
                </c:pt>
              </c:strCache>
            </c:strRef>
          </c:tx>
          <c:spPr bwMode="auto">
            <a:prstGeom prst="rect">
              <a:avLst/>
            </a:prstGeom>
            <a:solidFill>
              <a:srgbClr val="4F81BD"/>
            </a:solidFill>
            <a:ln w="0">
              <a:noFill/>
            </a:ln>
          </c:spPr>
          <c:invertIfNegative val="0"/>
          <c:dLbls>
            <c:separator xml:space="preserve">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/>
              </a:p>
            </c:txPr>
          </c:dLbls>
          <c:cat>
            <c:strRef>
              <c:f>'Size &amp; Distribution'!$A$4:$A$7</c:f>
              <c:strCache>
                <c:ptCount val="4"/>
                <c:pt idx="0">
                  <c:v>Small</c:v>
                </c:pt>
                <c:pt idx="1">
                  <c:v>Lower-mid</c:v>
                </c:pt>
                <c:pt idx="2">
                  <c:v>Upper-mid</c:v>
                </c:pt>
                <c:pt idx="3">
                  <c:v>Large</c:v>
                </c:pt>
              </c:strCache>
            </c:strRef>
          </c:cat>
          <c:val>
            <c:numRef>
              <c:f>'Size &amp; Distribution'!$E$4:$E$7</c:f>
              <c:numCache>
                <c:formatCode>0.0%</c:formatCode>
                <c:ptCount val="4"/>
                <c:pt idx="0">
                  <c:v>0.16660816032806</c:v>
                </c:pt>
                <c:pt idx="1">
                  <c:v>0.119188350280937</c:v>
                </c:pt>
                <c:pt idx="2">
                  <c:v>0.131489954919635</c:v>
                </c:pt>
                <c:pt idx="3">
                  <c:v>0.124374672867255</c:v>
                </c:pt>
              </c:numCache>
            </c:numRef>
          </c:val>
        </c:ser>
        <c:dLbls>
          <c:showBubbleSize val="0"/>
          <c:showCatName val="0"/>
          <c:showLegendKey val="0"/>
          <c:showPercent val="0"/>
          <c:showSerName val="0"/>
          <c:showVal val="0"/>
        </c:dLbls>
        <c:gapWidth val="150"/>
        <c:overlap val="0"/>
        <c:axId val="6965915"/>
        <c:axId val="19812566"/>
      </c:barChart>
      <c:catAx>
        <c:axId val="69659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19812566"/>
        <c:crosses val="autoZero"/>
        <c:auto val="1"/>
        <c:lblAlgn val="ctr"/>
        <c:lblOffset val="100"/>
        <c:noMultiLvlLbl val="0"/>
      </c:catAx>
      <c:valAx>
        <c:axId val="19812566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6965915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legend>
      <c:legendPos val="r"/>
      <c:layout/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/>
        </a:p>
      </c:txPr>
    </c:legend>
    <c:plotVisOnly val="1"/>
    <c:dispBlanksAs val="gap"/>
    <c:showDLblsOverMax val="0"/>
  </c:chart>
  <c:spPr bwMode="auto">
    <a:xfrm rot="0">
      <a:off x="9210600" y="380880"/>
      <a:ext cx="5399640" cy="269964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Distribution of company growth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'Size &amp; Distribution'!B12</c:f>
              <c:strCache>
                <c:ptCount val="1"/>
                <c:pt idx="0">
                  <c:v>Companies</c:v>
                </c:pt>
              </c:strCache>
            </c:strRef>
          </c:tx>
          <c:spPr bwMode="auto">
            <a:prstGeom prst="rect">
              <a:avLst/>
            </a:prstGeom>
            <a:solidFill>
              <a:srgbClr val="4F81BD"/>
            </a:solidFill>
            <a:ln w="0">
              <a:noFill/>
            </a:ln>
          </c:spPr>
          <c:invertIfNegative val="0"/>
          <c:dLbls>
            <c:separator xml:space="preserve">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/>
              </a:p>
            </c:txPr>
          </c:dLbls>
          <c:cat>
            <c:strRef>
              <c:f>'Size &amp; Distribution'!$A$13:$A$17</c:f>
              <c:strCache>
                <c:ptCount val="5"/>
                <c:pt idx="0">
                  <c:v>Shrank in rupees (&lt;0%)</c:v>
                </c:pt>
                <c:pt idx="1">
                  <c:v>Grew, but below pharma inflation</c:v>
                </c:pt>
                <c:pt idx="2">
                  <c:v>Beat inflation, under 10%</c:v>
                </c:pt>
                <c:pt idx="3">
                  <c:v>10% to 20%</c:v>
                </c:pt>
                <c:pt idx="4">
                  <c:v>Over 20%</c:v>
                </c:pt>
              </c:strCache>
            </c:strRef>
          </c:cat>
          <c:val>
            <c:numRef>
              <c:f>'Size &amp; Distribution'!$B$13:$B$17</c:f>
              <c:numCache>
                <c:formatCode>General</c:formatCode>
                <c:ptCount val="5"/>
                <c:pt idx="0">
                  <c:v>12</c:v>
                </c:pt>
                <c:pt idx="1">
                  <c:v>9</c:v>
                </c:pt>
                <c:pt idx="2">
                  <c:v>40</c:v>
                </c:pt>
                <c:pt idx="3">
                  <c:v>59</c:v>
                </c:pt>
                <c:pt idx="4">
                  <c:v>20</c:v>
                </c:pt>
              </c:numCache>
            </c:numRef>
          </c:val>
        </c:ser>
        <c:dLbls>
          <c:showBubbleSize val="0"/>
          <c:showCatName val="0"/>
          <c:showLegendKey val="0"/>
          <c:showPercent val="0"/>
          <c:showSerName val="0"/>
          <c:showVal val="0"/>
        </c:dLbls>
        <c:gapWidth val="150"/>
        <c:overlap val="0"/>
        <c:axId val="83880224"/>
        <c:axId val="62963056"/>
      </c:barChart>
      <c:catAx>
        <c:axId val="8388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62963056"/>
        <c:crosses val="autoZero"/>
        <c:auto val="1"/>
        <c:lblAlgn val="ctr"/>
        <c:lblOffset val="100"/>
        <c:noMultiLvlLbl val="0"/>
      </c:catAx>
      <c:valAx>
        <c:axId val="62963056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83880224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legend>
      <c:legendPos val="r"/>
      <c:layout/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/>
        </a:p>
      </c:txPr>
    </c:legend>
    <c:plotVisOnly val="1"/>
    <c:dispBlanksAs val="gap"/>
    <c:showDLblsOverMax val="0"/>
  </c:chart>
  <c:spPr bwMode="auto">
    <a:xfrm rot="0">
      <a:off x="9210600" y="3619440"/>
      <a:ext cx="5399640" cy="269964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Top 10 by FY20 sales (Rs cr)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20 Pharma'!C1</c:f>
              <c:strCache>
                <c:ptCount val="1"/>
                <c:pt idx="0">
                  <c:v>FY20 sales (Rs cr)</c:v>
                </c:pt>
              </c:strCache>
            </c:strRef>
          </c:tx>
          <c:spPr bwMode="auto">
            <a:prstGeom prst="rect">
              <a:avLst/>
            </a:prstGeom>
            <a:solidFill>
              <a:srgbClr val="4F81BD"/>
            </a:solidFill>
            <a:ln w="0">
              <a:noFill/>
            </a:ln>
          </c:spPr>
          <c:invertIfNegative val="0"/>
          <c:dLbls>
            <c:separator xml:space="preserve">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/>
              </a:p>
            </c:txPr>
          </c:dLbls>
          <c:cat>
            <c:strRef>
              <c:f>'Top 20 Pharma'!$A$2:$A$11</c:f>
              <c:strCache>
                <c:ptCount val="10"/>
                <c:pt idx="0">
                  <c:v>Sun Pharmaceutical Inds. Ltd.</c:v>
                </c:pt>
                <c:pt idx="1">
                  <c:v>Aurobindo Pharma Ltd.</c:v>
                </c:pt>
                <c:pt idx="2">
                  <c:v>Cipla Ltd.</c:v>
                </c:pt>
                <c:pt idx="3">
                  <c:v>Mylan Laboratories Ltd.</c:v>
                </c:pt>
                <c:pt idx="4">
                  <c:v>Dr. Reddy'S Laboratories Ltd.</c:v>
                </c:pt>
                <c:pt idx="5">
                  <c:v>Lupin Ltd.</c:v>
                </c:pt>
                <c:pt idx="6">
                  <c:v>Hetero Labs Ltd.</c:v>
                </c:pt>
                <c:pt idx="7">
                  <c:v>Alkem Laboratories Ltd.</c:v>
                </c:pt>
                <c:pt idx="8">
                  <c:v>Glenmark Pharmaceuticals Ltd.</c:v>
                </c:pt>
                <c:pt idx="9">
                  <c:v>Torrent Pharmaceuticals Ltd.</c:v>
                </c:pt>
              </c:strCache>
            </c:strRef>
          </c:cat>
          <c:val>
            <c:numRef>
              <c:f>'Top 20 Pharma'!$C$2:$C$11</c:f>
              <c:numCache>
                <c:formatCode>#,##0</c:formatCode>
                <c:ptCount val="10"/>
                <c:pt idx="0">
                  <c:v>13136</c:v>
                </c:pt>
                <c:pt idx="1">
                  <c:v>13022</c:v>
                </c:pt>
                <c:pt idx="2">
                  <c:v>12220</c:v>
                </c:pt>
                <c:pt idx="3">
                  <c:v>11609</c:v>
                </c:pt>
                <c:pt idx="4">
                  <c:v>10992</c:v>
                </c:pt>
                <c:pt idx="5">
                  <c:v>10633</c:v>
                </c:pt>
                <c:pt idx="6">
                  <c:v>6775</c:v>
                </c:pt>
                <c:pt idx="7">
                  <c:v>6719</c:v>
                </c:pt>
                <c:pt idx="8">
                  <c:v>6413</c:v>
                </c:pt>
                <c:pt idx="9">
                  <c:v>6026</c:v>
                </c:pt>
              </c:numCache>
            </c:numRef>
          </c:val>
        </c:ser>
        <c:dLbls>
          <c:showBubbleSize val="0"/>
          <c:showCatName val="0"/>
          <c:showLegendKey val="0"/>
          <c:showPercent val="0"/>
          <c:showSerName val="0"/>
          <c:showVal val="0"/>
        </c:dLbls>
        <c:gapWidth val="150"/>
        <c:overlap val="0"/>
        <c:axId val="21404568"/>
        <c:axId val="44356212"/>
      </c:barChart>
      <c:catAx>
        <c:axId val="21404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44356212"/>
        <c:crosses val="autoZero"/>
        <c:auto val="1"/>
        <c:lblAlgn val="ctr"/>
        <c:lblOffset val="100"/>
        <c:noMultiLvlLbl val="0"/>
      </c:catAx>
      <c:valAx>
        <c:axId val="44356212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21404568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legend>
      <c:legendPos val="r"/>
      <c:layout/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/>
        </a:p>
      </c:txPr>
    </c:legend>
    <c:plotVisOnly val="1"/>
    <c:dispBlanksAs val="gap"/>
    <c:showDLblsOverMax val="0"/>
  </c:chart>
  <c:spPr bwMode="auto">
    <a:xfrm rot="0">
      <a:off x="8364960" y="190440"/>
      <a:ext cx="5759640" cy="359964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Pharma prices vs all prices (2011-12=100)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WPI!C3</c:f>
              <c:strCache>
                <c:ptCount val="1"/>
                <c:pt idx="0">
                  <c:v>WPI Pharmaceuticals (Drugs &amp; medicines)</c:v>
                </c:pt>
              </c:strCache>
            </c:strRef>
          </c:tx>
          <c:spPr bwMode="auto">
            <a:prstGeom prst="rect">
              <a:avLst/>
            </a:prstGeom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eparator xml:space="preserve">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/>
              </a:p>
            </c:txPr>
          </c:dLbls>
          <c:cat>
            <c:strRef>
              <c:f>WPI!$A$4:$A$15</c:f>
              <c:strCache>
                <c:ptCount val="12"/>
                <c:pt idx="0">
                  <c:v>2009-10</c:v>
                </c:pt>
                <c:pt idx="1">
                  <c:v>2010-11</c:v>
                </c:pt>
                <c:pt idx="2">
                  <c:v>2011-12</c:v>
                </c:pt>
                <c:pt idx="3">
                  <c:v>2012-13</c:v>
                </c:pt>
                <c:pt idx="4">
                  <c:v>2013-14</c:v>
                </c:pt>
                <c:pt idx="5">
                  <c:v>2014-15</c:v>
                </c:pt>
                <c:pt idx="6">
                  <c:v>2015-16</c:v>
                </c:pt>
                <c:pt idx="7">
                  <c:v>2016-17</c:v>
                </c:pt>
                <c:pt idx="8">
                  <c:v>2017-18</c:v>
                </c:pt>
                <c:pt idx="9">
                  <c:v>2018-19</c:v>
                </c:pt>
                <c:pt idx="10">
                  <c:v>2019-20</c:v>
                </c:pt>
                <c:pt idx="11">
                  <c:v>2020-21</c:v>
                </c:pt>
              </c:strCache>
            </c:strRef>
          </c:cat>
          <c:val>
            <c:numRef>
              <c:f>WPI!$C$4:$C$15</c:f>
              <c:numCache>
                <c:formatCode>0.0</c:formatCode>
                <c:ptCount val="12"/>
                <c:pt idx="0">
                  <c:v>94.22</c:v>
                </c:pt>
                <c:pt idx="1">
                  <c:v>96.46</c:v>
                </c:pt>
                <c:pt idx="2">
                  <c:v>100</c:v>
                </c:pt>
                <c:pt idx="3">
                  <c:v>104.8</c:v>
                </c:pt>
                <c:pt idx="4">
                  <c:v>108.3</c:v>
                </c:pt>
                <c:pt idx="5">
                  <c:v>114.5</c:v>
                </c:pt>
                <c:pt idx="6">
                  <c:v>118.7</c:v>
                </c:pt>
                <c:pt idx="7">
                  <c:v>119.7</c:v>
                </c:pt>
                <c:pt idx="8">
                  <c:v>121.2</c:v>
                </c:pt>
                <c:pt idx="9">
                  <c:v>123.5</c:v>
                </c:pt>
                <c:pt idx="10">
                  <c:v>127.3</c:v>
                </c:pt>
                <c:pt idx="11">
                  <c:v>130.9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WPI!D3</c:f>
              <c:strCache>
                <c:ptCount val="1"/>
                <c:pt idx="0">
                  <c:v>WPI All commodities</c:v>
                </c:pt>
              </c:strCache>
            </c:strRef>
          </c:tx>
          <c:spPr bwMode="auto">
            <a:prstGeom prst="rect">
              <a:avLst/>
            </a:prstGeom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eparator xml:space="preserve">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/>
              </a:p>
            </c:txPr>
          </c:dLbls>
          <c:cat>
            <c:strRef>
              <c:f>WPI!$A$4:$A$15</c:f>
              <c:strCache>
                <c:ptCount val="12"/>
                <c:pt idx="0">
                  <c:v>2009-10</c:v>
                </c:pt>
                <c:pt idx="1">
                  <c:v>2010-11</c:v>
                </c:pt>
                <c:pt idx="2">
                  <c:v>2011-12</c:v>
                </c:pt>
                <c:pt idx="3">
                  <c:v>2012-13</c:v>
                </c:pt>
                <c:pt idx="4">
                  <c:v>2013-14</c:v>
                </c:pt>
                <c:pt idx="5">
                  <c:v>2014-15</c:v>
                </c:pt>
                <c:pt idx="6">
                  <c:v>2015-16</c:v>
                </c:pt>
                <c:pt idx="7">
                  <c:v>2016-17</c:v>
                </c:pt>
                <c:pt idx="8">
                  <c:v>2017-18</c:v>
                </c:pt>
                <c:pt idx="9">
                  <c:v>2018-19</c:v>
                </c:pt>
                <c:pt idx="10">
                  <c:v>2019-20</c:v>
                </c:pt>
                <c:pt idx="11">
                  <c:v>2020-21</c:v>
                </c:pt>
              </c:strCache>
            </c:strRef>
          </c:cat>
          <c:val>
            <c:numRef>
              <c:f>WPI!$D$4:$D$15</c:f>
              <c:numCache>
                <c:formatCode>0.0</c:formatCode>
                <c:ptCount val="12"/>
                <c:pt idx="0">
                  <c:v>83.78</c:v>
                </c:pt>
                <c:pt idx="1">
                  <c:v>91.8</c:v>
                </c:pt>
                <c:pt idx="2">
                  <c:v>100</c:v>
                </c:pt>
                <c:pt idx="3">
                  <c:v>106.9</c:v>
                </c:pt>
                <c:pt idx="4">
                  <c:v>112.5</c:v>
                </c:pt>
                <c:pt idx="5">
                  <c:v>113.9</c:v>
                </c:pt>
                <c:pt idx="6">
                  <c:v>109.7</c:v>
                </c:pt>
                <c:pt idx="7">
                  <c:v>111.6</c:v>
                </c:pt>
                <c:pt idx="8">
                  <c:v>114.9</c:v>
                </c:pt>
                <c:pt idx="9">
                  <c:v>119.8</c:v>
                </c:pt>
                <c:pt idx="10">
                  <c:v>121.8</c:v>
                </c:pt>
                <c:pt idx="11">
                  <c:v>123.4</c:v>
                </c:pt>
              </c:numCache>
            </c:numRef>
          </c:val>
          <c:smooth val="1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hiLowLines>
          <c:spPr bwMode="auto">
            <a:prstGeom prst="rect">
              <a:avLst/>
            </a:prstGeom>
            <a:ln w="0">
              <a:noFill/>
            </a:ln>
          </c:spPr>
        </c:hiLowLines>
        <c:marker val="0"/>
        <c:smooth val="0"/>
        <c:axId val="29734889"/>
        <c:axId val="46679550"/>
      </c:lineChart>
      <c:catAx>
        <c:axId val="297348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46679550"/>
        <c:crosses val="autoZero"/>
        <c:auto val="1"/>
        <c:lblAlgn val="ctr"/>
        <c:lblOffset val="100"/>
        <c:noMultiLvlLbl val="0"/>
      </c:catAx>
      <c:valAx>
        <c:axId val="4667955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29734889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legend>
      <c:legendPos val="r"/>
      <c:layout/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/>
        </a:p>
      </c:txPr>
    </c:legend>
    <c:plotVisOnly val="1"/>
    <c:dispBlanksAs val="gap"/>
    <c:showDLblsOverMax val="0"/>
  </c:chart>
  <c:spPr bwMode="auto">
    <a:xfrm rot="0">
      <a:off x="6696000" y="1523880"/>
      <a:ext cx="5759640" cy="287964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4.xml" /><Relationship Id="rId2" Type="http://schemas.openxmlformats.org/officeDocument/2006/relationships/chart" Target="../charts/chart5.xml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6.xml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../charts/chart7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28</xdr:row>
      <xdr:rowOff>69120</xdr:rowOff>
    </xdr:from>
    <xdr:to>
      <xdr:col>8</xdr:col>
      <xdr:colOff>362519</xdr:colOff>
      <xdr:row>45</xdr:row>
      <xdr:rowOff>70200</xdr:rowOff>
    </xdr:to>
    <xdr:graphicFrame>
      <xdr:nvGraphicFramePr>
        <xdr:cNvPr id="0" name="Chart 1"/>
        <xdr:cNvGraphicFramePr>
          <a:graphicFrameLocks xmlns:a="http://schemas.openxmlformats.org/drawingml/2006/main"/>
        </xdr:cNvGraphicFramePr>
      </xdr:nvGraphicFramePr>
      <xdr:xfrm rot="0">
        <a:off x="0" y="571500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28</xdr:row>
      <xdr:rowOff>69120</xdr:rowOff>
    </xdr:from>
    <xdr:to>
      <xdr:col>19</xdr:col>
      <xdr:colOff>147600</xdr:colOff>
      <xdr:row>45</xdr:row>
      <xdr:rowOff>70200</xdr:rowOff>
    </xdr:to>
    <xdr:graphicFrame>
      <xdr:nvGraphicFramePr>
        <xdr:cNvPr id="1" name="Chart 2"/>
        <xdr:cNvGraphicFramePr>
          <a:graphicFrameLocks xmlns:a="http://schemas.openxmlformats.org/drawingml/2006/main"/>
        </xdr:cNvGraphicFramePr>
      </xdr:nvGraphicFramePr>
      <xdr:xfrm rot="0">
        <a:off x="9140040" y="571500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47</xdr:row>
      <xdr:rowOff>69120</xdr:rowOff>
    </xdr:from>
    <xdr:to>
      <xdr:col>8</xdr:col>
      <xdr:colOff>362519</xdr:colOff>
      <xdr:row>64</xdr:row>
      <xdr:rowOff>70200</xdr:rowOff>
    </xdr:to>
    <xdr:graphicFrame>
      <xdr:nvGraphicFramePr>
        <xdr:cNvPr id="2" name="Chart 3"/>
        <xdr:cNvGraphicFramePr>
          <a:graphicFrameLocks xmlns:a="http://schemas.openxmlformats.org/drawingml/2006/main"/>
        </xdr:cNvGraphicFramePr>
      </xdr:nvGraphicFramePr>
      <xdr:xfrm rot="0">
        <a:off x="0" y="933444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8</xdr:col>
      <xdr:colOff>0</xdr:colOff>
      <xdr:row>2</xdr:row>
      <xdr:rowOff>0</xdr:rowOff>
    </xdr:from>
    <xdr:to>
      <xdr:col>16</xdr:col>
      <xdr:colOff>507600</xdr:colOff>
      <xdr:row>14</xdr:row>
      <xdr:rowOff>101879</xdr:rowOff>
    </xdr:to>
    <xdr:graphicFrame>
      <xdr:nvGraphicFramePr>
        <xdr:cNvPr id="3" name="Chart 1"/>
        <xdr:cNvGraphicFramePr>
          <a:graphicFrameLocks xmlns:a="http://schemas.openxmlformats.org/drawingml/2006/main"/>
        </xdr:cNvGraphicFramePr>
      </xdr:nvGraphicFramePr>
      <xdr:xfrm rot="0">
        <a:off x="9210600" y="38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17</xdr:row>
      <xdr:rowOff>69120</xdr:rowOff>
    </xdr:from>
    <xdr:to>
      <xdr:col>16</xdr:col>
      <xdr:colOff>507600</xdr:colOff>
      <xdr:row>31</xdr:row>
      <xdr:rowOff>101879</xdr:rowOff>
    </xdr:to>
    <xdr:graphicFrame>
      <xdr:nvGraphicFramePr>
        <xdr:cNvPr id="4" name="Chart 2"/>
        <xdr:cNvGraphicFramePr>
          <a:graphicFrameLocks xmlns:a="http://schemas.openxmlformats.org/drawingml/2006/main"/>
        </xdr:cNvGraphicFramePr>
      </xdr:nvGraphicFramePr>
      <xdr:xfrm rot="0">
        <a:off x="9210600" y="3619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7</xdr:col>
      <xdr:colOff>0</xdr:colOff>
      <xdr:row>0</xdr:row>
      <xdr:rowOff>190440</xdr:rowOff>
    </xdr:from>
    <xdr:to>
      <xdr:col>16</xdr:col>
      <xdr:colOff>256319</xdr:colOff>
      <xdr:row>19</xdr:row>
      <xdr:rowOff>20160</xdr:rowOff>
    </xdr:to>
    <xdr:graphicFrame>
      <xdr:nvGraphicFramePr>
        <xdr:cNvPr id="5" name="Chart 1"/>
        <xdr:cNvGraphicFramePr>
          <a:graphicFrameLocks xmlns:a="http://schemas.openxmlformats.org/drawingml/2006/main"/>
        </xdr:cNvGraphicFramePr>
      </xdr:nvGraphicFramePr>
      <xdr:xfrm rot="0">
        <a:off x="8364960" y="19044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8</xdr:col>
      <xdr:colOff>0</xdr:colOff>
      <xdr:row>5</xdr:row>
      <xdr:rowOff>99000</xdr:rowOff>
    </xdr:from>
    <xdr:to>
      <xdr:col>14</xdr:col>
      <xdr:colOff>494280</xdr:colOff>
      <xdr:row>20</xdr:row>
      <xdr:rowOff>120959</xdr:rowOff>
    </xdr:to>
    <xdr:graphicFrame>
      <xdr:nvGraphicFramePr>
        <xdr:cNvPr id="6" name="Chart 1"/>
        <xdr:cNvGraphicFramePr>
          <a:graphicFrameLocks xmlns:a="http://schemas.openxmlformats.org/drawingml/2006/main"/>
        </xdr:cNvGraphicFramePr>
      </xdr:nvGraphicFramePr>
      <xdr:xfrm rot="0">
        <a:off x="6696000" y="1523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4.25"/>
  <cols>
    <col customWidth="1" min="1" max="1" style="0" width="40"/>
    <col customWidth="1" min="2" max="2" style="0" width="14"/>
    <col customWidth="1" min="3" max="8" style="0" width="12"/>
  </cols>
  <sheetData>
    <row r="1" ht="16.5">
      <c r="A1" s="1" t="s">
        <v>0</v>
      </c>
      <c r="B1" s="2"/>
      <c r="C1" s="2"/>
      <c r="D1" s="2"/>
      <c r="E1" s="2"/>
      <c r="F1" s="2"/>
      <c r="G1" s="2"/>
      <c r="H1" s="2"/>
    </row>
    <row r="2" ht="15">
      <c r="A2" s="2"/>
      <c r="B2" s="2"/>
      <c r="C2" s="2"/>
      <c r="D2" s="2"/>
      <c r="E2" s="2"/>
      <c r="F2" s="2"/>
      <c r="G2" s="2"/>
      <c r="H2" s="2"/>
    </row>
    <row r="3" ht="15">
      <c r="A3" s="3" t="s">
        <v>1</v>
      </c>
      <c r="B3" s="2"/>
      <c r="C3" s="2"/>
      <c r="D3" s="2"/>
      <c r="E3" s="2"/>
      <c r="F3" s="2"/>
      <c r="G3" s="2"/>
      <c r="H3" s="2"/>
    </row>
    <row r="4" ht="15">
      <c r="A4" s="2" t="s">
        <v>2</v>
      </c>
      <c r="B4" s="4">
        <f>COUNTA('Pharma Companies'!A2:A141)</f>
        <v>140</v>
      </c>
      <c r="C4" s="2"/>
      <c r="D4" s="2"/>
      <c r="E4" s="2"/>
      <c r="F4" s="2"/>
      <c r="G4" s="2"/>
      <c r="H4" s="2"/>
    </row>
    <row r="5" ht="15">
      <c r="A5" s="2" t="s">
        <v>3</v>
      </c>
      <c r="B5" s="5">
        <f>'Yearly Analysis'!F16</f>
        <v>0.125587410727169</v>
      </c>
      <c r="C5" s="2"/>
      <c r="D5" s="2"/>
      <c r="E5" s="2"/>
      <c r="F5" s="2"/>
      <c r="G5" s="2"/>
      <c r="H5" s="2"/>
    </row>
    <row r="6" ht="15">
      <c r="A6" s="2" t="s">
        <v>4</v>
      </c>
      <c r="B6" s="5">
        <f>WPI!J4</f>
        <v>0.0305487251300323</v>
      </c>
      <c r="C6" s="2"/>
      <c r="D6" s="2"/>
      <c r="E6" s="2"/>
      <c r="F6" s="2"/>
      <c r="G6" s="2"/>
      <c r="H6" s="2"/>
    </row>
    <row r="7" ht="15">
      <c r="A7" s="2" t="s">
        <v>5</v>
      </c>
      <c r="B7" s="5">
        <f>'Yearly Analysis'!G16</f>
        <v>0.092221438229565397</v>
      </c>
      <c r="C7" s="2"/>
      <c r="D7" s="2"/>
      <c r="E7" s="2"/>
      <c r="F7" s="2"/>
      <c r="G7" s="2"/>
      <c r="H7" s="2"/>
    </row>
    <row r="8" ht="15">
      <c r="A8" s="2" t="s">
        <v>6</v>
      </c>
      <c r="B8" s="6">
        <f>'Yearly Analysis'!F18</f>
        <v>3.26431657588097</v>
      </c>
      <c r="C8" s="2"/>
      <c r="D8" s="2"/>
      <c r="E8" s="2"/>
      <c r="F8" s="2"/>
      <c r="G8" s="2"/>
      <c r="H8" s="2"/>
    </row>
    <row r="9" ht="15">
      <c r="A9" s="2" t="s">
        <v>7</v>
      </c>
      <c r="B9" s="6">
        <f>'Yearly Analysis'!F19</f>
        <v>1.3510931861600499</v>
      </c>
      <c r="C9" s="2"/>
      <c r="D9" s="2"/>
      <c r="E9" s="2"/>
      <c r="F9" s="2"/>
      <c r="G9" s="2"/>
      <c r="H9" s="2"/>
    </row>
    <row r="10" ht="15">
      <c r="A10" s="2" t="s">
        <v>8</v>
      </c>
      <c r="B10" s="7">
        <f>'Yearly Analysis'!F20</f>
        <v>0.74564564066443695</v>
      </c>
      <c r="C10" s="2"/>
      <c r="D10" s="2"/>
      <c r="E10" s="2"/>
      <c r="F10" s="2"/>
      <c r="G10" s="2"/>
      <c r="H10" s="2"/>
    </row>
    <row r="11" ht="15">
      <c r="A11" s="2" t="s">
        <v>9</v>
      </c>
      <c r="B11" s="5">
        <f>'Yearly Analysis'!F10</f>
        <v>0.13129961074544899</v>
      </c>
      <c r="C11" s="2"/>
      <c r="D11" s="2"/>
      <c r="E11" s="2"/>
      <c r="F11" s="2"/>
      <c r="G11" s="2"/>
      <c r="H11" s="2"/>
    </row>
    <row r="12" ht="15">
      <c r="A12" s="2" t="s">
        <v>10</v>
      </c>
      <c r="B12" s="5">
        <f>'Yearly Analysis'!F14</f>
        <v>0.0810119506133644</v>
      </c>
      <c r="C12" s="2"/>
      <c r="D12" s="2"/>
      <c r="E12" s="2"/>
      <c r="F12" s="2"/>
      <c r="G12" s="2"/>
      <c r="H12" s="2"/>
    </row>
    <row r="13" ht="15">
      <c r="A13" s="2" t="s">
        <v>11</v>
      </c>
      <c r="B13" s="5">
        <f>'Yearly Analysis'!F11</f>
        <v>0.0034292983234174299</v>
      </c>
      <c r="C13" s="2"/>
      <c r="D13" s="2"/>
      <c r="E13" s="2"/>
      <c r="F13" s="2"/>
      <c r="G13" s="2"/>
      <c r="H13" s="2"/>
    </row>
    <row r="14" ht="15">
      <c r="A14" s="2" t="s">
        <v>12</v>
      </c>
      <c r="B14" s="8">
        <f>'Yearly Analysis'!F22</f>
        <v>0.42641950588579502</v>
      </c>
      <c r="C14" s="2"/>
      <c r="D14" s="2"/>
      <c r="E14" s="2"/>
      <c r="F14" s="2"/>
      <c r="G14" s="2"/>
      <c r="H14" s="2"/>
    </row>
    <row r="15" ht="15">
      <c r="A15" s="2" t="s">
        <v>13</v>
      </c>
      <c r="B15" s="7">
        <f>'Size &amp; Distribution'!G8</f>
        <v>0.84999999999999998</v>
      </c>
      <c r="C15" s="2"/>
      <c r="D15" s="2"/>
      <c r="E15" s="2"/>
      <c r="F15" s="2"/>
      <c r="G15" s="2"/>
      <c r="H15" s="2"/>
    </row>
    <row r="16" ht="15">
      <c r="A16" s="2" t="s">
        <v>14</v>
      </c>
      <c r="B16" s="7">
        <f>'Top 20 Pharma'!F23</f>
        <v>0.51598506333135397</v>
      </c>
      <c r="C16" s="2"/>
      <c r="D16" s="2"/>
      <c r="E16" s="2"/>
      <c r="F16" s="2"/>
      <c r="G16" s="2"/>
      <c r="H16" s="2"/>
    </row>
    <row r="17" ht="15">
      <c r="A17" s="2"/>
      <c r="B17" s="2"/>
      <c r="C17" s="2"/>
      <c r="D17" s="2"/>
      <c r="E17" s="2"/>
      <c r="F17" s="2"/>
      <c r="G17" s="2"/>
      <c r="H17" s="2"/>
    </row>
    <row r="18" ht="15">
      <c r="A18" s="3" t="s">
        <v>15</v>
      </c>
      <c r="B18" s="2"/>
      <c r="C18" s="2"/>
      <c r="D18" s="2"/>
      <c r="E18" s="2"/>
      <c r="F18" s="2"/>
      <c r="G18" s="2"/>
      <c r="H18" s="2"/>
    </row>
    <row r="19" ht="48" customHeight="1">
      <c r="A19" s="9" t="s">
        <v>16</v>
      </c>
      <c r="B19" s="9"/>
      <c r="C19" s="9"/>
      <c r="D19" s="9"/>
      <c r="E19" s="9"/>
      <c r="F19" s="9"/>
      <c r="G19" s="9"/>
      <c r="H19" s="9"/>
    </row>
    <row r="20" ht="48" customHeight="1">
      <c r="A20" s="9" t="s">
        <v>17</v>
      </c>
      <c r="B20" s="9"/>
      <c r="C20" s="9"/>
      <c r="D20" s="9"/>
      <c r="E20" s="9"/>
      <c r="F20" s="9"/>
      <c r="G20" s="9"/>
      <c r="H20" s="9"/>
    </row>
    <row r="21" ht="48" customHeight="1">
      <c r="A21" s="9" t="s">
        <v>18</v>
      </c>
      <c r="B21" s="9"/>
      <c r="C21" s="9"/>
      <c r="D21" s="9"/>
      <c r="E21" s="9"/>
      <c r="F21" s="9"/>
      <c r="G21" s="9"/>
      <c r="H21" s="9"/>
    </row>
    <row r="22" ht="48" customHeight="1">
      <c r="A22" s="9" t="s">
        <v>19</v>
      </c>
      <c r="B22" s="9"/>
      <c r="C22" s="9"/>
      <c r="D22" s="9"/>
      <c r="E22" s="9"/>
      <c r="F22" s="9"/>
      <c r="G22" s="9"/>
      <c r="H22" s="9"/>
    </row>
    <row r="23" ht="48" customHeight="1">
      <c r="A23" s="9" t="s">
        <v>20</v>
      </c>
      <c r="B23" s="9"/>
      <c r="C23" s="9"/>
      <c r="D23" s="9"/>
      <c r="E23" s="9"/>
      <c r="F23" s="9"/>
      <c r="G23" s="9"/>
      <c r="H23" s="9"/>
    </row>
    <row r="24" ht="48" customHeight="1">
      <c r="A24" s="9" t="s">
        <v>21</v>
      </c>
      <c r="B24" s="9"/>
      <c r="C24" s="9"/>
      <c r="D24" s="9"/>
      <c r="E24" s="9"/>
      <c r="F24" s="9"/>
      <c r="G24" s="9"/>
      <c r="H24" s="9"/>
    </row>
    <row r="25" ht="48" customHeight="1">
      <c r="A25" s="9" t="s">
        <v>22</v>
      </c>
      <c r="B25" s="9"/>
      <c r="C25" s="9"/>
      <c r="D25" s="9"/>
      <c r="E25" s="9"/>
      <c r="F25" s="9"/>
      <c r="G25" s="9"/>
      <c r="H25" s="9"/>
    </row>
    <row r="26" ht="15">
      <c r="A26" s="9"/>
      <c r="B26" s="9"/>
      <c r="C26" s="9"/>
      <c r="D26" s="9"/>
      <c r="E26" s="9"/>
      <c r="F26" s="9"/>
      <c r="G26" s="9"/>
      <c r="H26" s="9"/>
    </row>
    <row r="27" ht="15" customHeight="1">
      <c r="A27" s="9" t="s">
        <v>23</v>
      </c>
      <c r="B27" s="9"/>
      <c r="C27" s="9"/>
      <c r="D27" s="9"/>
      <c r="E27" s="9"/>
      <c r="F27" s="9"/>
      <c r="G27" s="9"/>
      <c r="H27" s="9"/>
    </row>
    <row r="28" ht="26.850000000000001" customHeight="1">
      <c r="A28" s="9" t="s">
        <v>24</v>
      </c>
      <c r="B28" s="9"/>
      <c r="C28" s="9"/>
      <c r="D28" s="9"/>
      <c r="E28" s="9"/>
      <c r="F28" s="9"/>
      <c r="G28" s="9"/>
      <c r="H28" s="9"/>
    </row>
    <row r="29" ht="26.850000000000001" customHeight="1">
      <c r="A29" s="9" t="s">
        <v>25</v>
      </c>
      <c r="B29" s="9"/>
      <c r="C29" s="9"/>
      <c r="D29" s="9"/>
      <c r="E29" s="9"/>
      <c r="F29" s="9"/>
      <c r="G29" s="9"/>
      <c r="H29" s="9"/>
    </row>
    <row r="30" ht="15" customHeight="1">
      <c r="A30" s="9" t="s">
        <v>26</v>
      </c>
      <c r="B30" s="9"/>
      <c r="C30" s="9"/>
      <c r="D30" s="9"/>
      <c r="E30" s="9"/>
      <c r="F30" s="9"/>
      <c r="G30" s="9"/>
      <c r="H30" s="9"/>
    </row>
    <row r="31" ht="15" customHeight="1">
      <c r="A31" s="9" t="s">
        <v>27</v>
      </c>
      <c r="B31" s="9"/>
      <c r="C31" s="9"/>
      <c r="D31" s="9"/>
      <c r="E31" s="9"/>
      <c r="F31" s="9"/>
      <c r="G31" s="9"/>
      <c r="H31" s="9"/>
    </row>
  </sheetData>
  <mergeCells count="13"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pane xSplit="1" ySplit="3" topLeftCell="B4" activePane="bottomRight" state="frozen"/>
      <selection activeCell="A1" activeCellId="0" sqref="A1"/>
    </sheetView>
  </sheetViews>
  <sheetFormatPr defaultColWidth="8.6796875" defaultRowHeight="15"/>
  <cols>
    <col customWidth="1" min="1" max="1" style="0" width="14"/>
    <col customWidth="1" min="2" max="2" style="0" width="11"/>
    <col customWidth="1" min="3" max="3" style="0" width="14"/>
    <col customWidth="1" min="4" max="4" style="0" width="11"/>
    <col customWidth="1" min="5" max="5" style="0" width="14"/>
    <col customWidth="1" min="6" max="8" style="0" width="11"/>
    <col customWidth="1" min="9" max="9" style="0" width="13"/>
    <col customWidth="1" min="10" max="10" style="0" width="11"/>
  </cols>
  <sheetData>
    <row r="1" ht="15">
      <c r="A1" s="10" t="s">
        <v>28</v>
      </c>
      <c r="B1" s="2"/>
      <c r="C1" s="2"/>
      <c r="D1" s="2"/>
      <c r="E1" s="2"/>
      <c r="F1" s="2"/>
      <c r="G1" s="2"/>
      <c r="H1" s="2"/>
      <c r="I1" s="2"/>
      <c r="J1" s="2"/>
    </row>
    <row r="2" ht="15">
      <c r="A2" s="2"/>
      <c r="B2" s="2"/>
      <c r="C2" s="2"/>
      <c r="D2" s="2"/>
      <c r="E2" s="2"/>
      <c r="F2" s="2"/>
      <c r="G2" s="2"/>
      <c r="H2" s="2"/>
      <c r="I2" s="2"/>
      <c r="J2" s="2"/>
    </row>
    <row r="3" ht="39.549999999999997">
      <c r="A3" s="11" t="s">
        <v>29</v>
      </c>
      <c r="B3" s="11" t="s">
        <v>30</v>
      </c>
      <c r="C3" s="11" t="s">
        <v>31</v>
      </c>
      <c r="D3" s="11" t="s">
        <v>32</v>
      </c>
      <c r="E3" s="11" t="s">
        <v>33</v>
      </c>
      <c r="F3" s="11" t="s">
        <v>34</v>
      </c>
      <c r="G3" s="11" t="s">
        <v>35</v>
      </c>
      <c r="H3" s="11" t="s">
        <v>36</v>
      </c>
      <c r="I3" s="11" t="s">
        <v>37</v>
      </c>
      <c r="J3" s="11" t="s">
        <v>38</v>
      </c>
    </row>
    <row r="4" ht="15">
      <c r="A4" s="2" t="s">
        <v>39</v>
      </c>
      <c r="B4" s="2">
        <f>COUNT('Pharma Companies'!C2:C141)</f>
        <v>140</v>
      </c>
      <c r="C4" s="12">
        <f>SUM('Pharma Companies'!C2:C141)</f>
        <v>57912.940000000002</v>
      </c>
      <c r="D4" s="13">
        <f>WPI!C4</f>
        <v>94.219999999999999</v>
      </c>
      <c r="E4" s="12">
        <f t="shared" ref="E4:E9" si="0">C4/D4*100</f>
        <v>61465.654850350198</v>
      </c>
      <c r="F4" s="2"/>
      <c r="G4" s="2"/>
      <c r="H4" s="2"/>
      <c r="I4" s="2"/>
      <c r="J4" s="2"/>
    </row>
    <row r="5" ht="15">
      <c r="A5" s="2" t="s">
        <v>40</v>
      </c>
      <c r="B5" s="2">
        <f>COUNT('Pharma Companies'!D2:D141)</f>
        <v>140</v>
      </c>
      <c r="C5" s="12">
        <f>SUM('Pharma Companies'!D2:D141)</f>
        <v>68673.119999999995</v>
      </c>
      <c r="D5" s="13">
        <f>WPI!C5</f>
        <v>96.459999999999994</v>
      </c>
      <c r="E5" s="12">
        <f t="shared" si="0"/>
        <v>71193.3651254406</v>
      </c>
      <c r="F5" s="14">
        <f t="shared" ref="F5:F9" si="1">C5/C4-1</f>
        <v>0.18579923588752401</v>
      </c>
      <c r="G5" s="14">
        <f t="shared" ref="G5:G9" si="2">E5/E4-1</f>
        <v>0.1582625337479</v>
      </c>
      <c r="H5" s="14">
        <f t="shared" ref="H5:H9" si="3">D5/D4-1</f>
        <v>0.0237741456166418</v>
      </c>
      <c r="I5" s="14">
        <v>0.22520000000000001</v>
      </c>
      <c r="J5" s="15">
        <f t="shared" ref="J5:J9" si="4">IFERROR(1-G5/F5,"")</f>
        <v>0.14820675665368699</v>
      </c>
    </row>
    <row r="6" ht="15">
      <c r="A6" s="2" t="s">
        <v>41</v>
      </c>
      <c r="B6" s="2">
        <f>COUNT('Pharma Companies'!E2:E141)</f>
        <v>140</v>
      </c>
      <c r="C6" s="12">
        <f>SUM('Pharma Companies'!E2:E141)</f>
        <v>83316.149999999994</v>
      </c>
      <c r="D6" s="13">
        <f>WPI!C6</f>
        <v>100</v>
      </c>
      <c r="E6" s="12">
        <f t="shared" si="0"/>
        <v>83316.149999999994</v>
      </c>
      <c r="F6" s="14">
        <f t="shared" si="1"/>
        <v>0.21322797041986699</v>
      </c>
      <c r="G6" s="14">
        <f t="shared" si="2"/>
        <v>0.17027970026700401</v>
      </c>
      <c r="H6" s="14">
        <f t="shared" si="3"/>
        <v>0.0366991499066971</v>
      </c>
      <c r="I6" s="14">
        <v>0.20780000000000001</v>
      </c>
      <c r="J6" s="15">
        <f t="shared" si="4"/>
        <v>0.201419495145472</v>
      </c>
    </row>
    <row r="7" ht="15">
      <c r="A7" s="2" t="s">
        <v>42</v>
      </c>
      <c r="B7" s="2">
        <f>COUNT('Pharma Companies'!F2:F141)</f>
        <v>140</v>
      </c>
      <c r="C7" s="12">
        <f>SUM('Pharma Companies'!F2:F141)</f>
        <v>99448.940000000002</v>
      </c>
      <c r="D7" s="13">
        <f>WPI!C7</f>
        <v>104.8</v>
      </c>
      <c r="E7" s="12">
        <f t="shared" si="0"/>
        <v>94894.026717557295</v>
      </c>
      <c r="F7" s="14">
        <f t="shared" si="1"/>
        <v>0.193633407208567</v>
      </c>
      <c r="G7" s="14">
        <f t="shared" si="2"/>
        <v>0.138963174817334</v>
      </c>
      <c r="H7" s="14">
        <f t="shared" si="3"/>
        <v>0.048000000000000001</v>
      </c>
      <c r="I7" s="14">
        <v>0.1036</v>
      </c>
      <c r="J7" s="15">
        <f t="shared" si="4"/>
        <v>0.28233884420752797</v>
      </c>
    </row>
    <row r="8" ht="15">
      <c r="A8" s="2" t="s">
        <v>43</v>
      </c>
      <c r="B8" s="2">
        <f>COUNT('Pharma Companies'!G2:G141)</f>
        <v>140</v>
      </c>
      <c r="C8" s="12">
        <f>SUM('Pharma Companies'!G2:G141)</f>
        <v>115428.75999999999</v>
      </c>
      <c r="D8" s="13">
        <f>WPI!C8</f>
        <v>108.3</v>
      </c>
      <c r="E8" s="12">
        <f t="shared" si="0"/>
        <v>106582.41920591</v>
      </c>
      <c r="F8" s="14">
        <f t="shared" si="1"/>
        <v>0.16068366339550699</v>
      </c>
      <c r="G8" s="14">
        <f t="shared" si="2"/>
        <v>0.12317311102353801</v>
      </c>
      <c r="H8" s="14">
        <f t="shared" si="3"/>
        <v>0.0333969465648856</v>
      </c>
      <c r="I8" s="14">
        <v>0.073400000000000007</v>
      </c>
      <c r="J8" s="15">
        <f t="shared" si="4"/>
        <v>0.23344347259273401</v>
      </c>
    </row>
    <row r="9" ht="15">
      <c r="A9" s="2" t="s">
        <v>44</v>
      </c>
      <c r="B9" s="2">
        <f>COUNT('Pharma Companies'!H2:H141)</f>
        <v>140</v>
      </c>
      <c r="C9" s="12">
        <f>SUM('Pharma Companies'!H2:H141)</f>
        <v>133264.98000000001</v>
      </c>
      <c r="D9" s="13">
        <f>WPI!C9</f>
        <v>114.5</v>
      </c>
      <c r="E9" s="12">
        <f t="shared" si="0"/>
        <v>116388.62882096101</v>
      </c>
      <c r="F9" s="14">
        <f t="shared" si="1"/>
        <v>0.15452145548475099</v>
      </c>
      <c r="G9" s="14">
        <f t="shared" si="2"/>
        <v>0.092005883222694707</v>
      </c>
      <c r="H9" s="14">
        <f t="shared" si="3"/>
        <v>0.057248384118190297</v>
      </c>
      <c r="I9" s="14">
        <v>0.0132</v>
      </c>
      <c r="J9" s="15">
        <f t="shared" si="4"/>
        <v>0.404575352114942</v>
      </c>
    </row>
    <row r="10" ht="15">
      <c r="A10" s="2" t="s">
        <v>45</v>
      </c>
      <c r="B10" s="2">
        <f>COUNT('Pharma Companies'!I2:I141)</f>
        <v>140</v>
      </c>
      <c r="C10" s="12">
        <f>SUM('Pharma Companies'!I2:I141)</f>
        <v>150762.62</v>
      </c>
      <c r="D10" s="13">
        <f>WPI!C10</f>
        <v>118.7</v>
      </c>
      <c r="E10" s="12">
        <f t="shared" ref="E10:E14" si="5">C10/D10*100</f>
        <v>127011.47430497099</v>
      </c>
      <c r="F10" s="14">
        <f>C10/C9-1</f>
        <v>0.13129961074544899</v>
      </c>
      <c r="G10" s="14">
        <f>E10/E9-1</f>
        <v>0.091270475403149698</v>
      </c>
      <c r="H10" s="14">
        <f>D10/D9-1</f>
        <v>0.036681222707423598</v>
      </c>
      <c r="I10" s="14">
        <v>-0.035099999999999999</v>
      </c>
      <c r="J10" s="15">
        <f t="shared" ref="J10:J14" si="6">IFERROR(1-G10/F10,"")</f>
        <v>0.30486865204729002</v>
      </c>
    </row>
    <row r="11" ht="15">
      <c r="A11" s="2" t="s">
        <v>46</v>
      </c>
      <c r="B11" s="2">
        <f>COUNT('Pharma Companies'!J2:J141)</f>
        <v>140</v>
      </c>
      <c r="C11" s="12">
        <f>SUM('Pharma Companies'!J2:J141)</f>
        <v>151279.63</v>
      </c>
      <c r="D11" s="13">
        <f>WPI!C11</f>
        <v>119.7</v>
      </c>
      <c r="E11" s="12">
        <f t="shared" si="5"/>
        <v>126382.31411863001</v>
      </c>
      <c r="F11" s="14">
        <f t="shared" ref="F11:F14" si="7">C11/C10-1</f>
        <v>0.0034292983234174299</v>
      </c>
      <c r="G11" s="14">
        <f t="shared" ref="G11:G14" si="8">E11/E10-1</f>
        <v>-0.0049535696659177599</v>
      </c>
      <c r="H11" s="14">
        <f t="shared" ref="H11:H14" si="9">D11/D10-1</f>
        <v>0.0084245998315080096</v>
      </c>
      <c r="I11" s="14">
        <v>0.075399999999999995</v>
      </c>
      <c r="J11" s="15">
        <f t="shared" si="6"/>
        <v>2.4444849058746598</v>
      </c>
    </row>
    <row r="12" ht="15">
      <c r="A12" s="2" t="s">
        <v>47</v>
      </c>
      <c r="B12" s="2">
        <f>COUNT('Pharma Companies'!K2:K141)</f>
        <v>140</v>
      </c>
      <c r="C12" s="12">
        <f>SUM('Pharma Companies'!K2:K141)</f>
        <v>154058.54000000001</v>
      </c>
      <c r="D12" s="13">
        <f>WPI!C12</f>
        <v>121.2</v>
      </c>
      <c r="E12" s="12">
        <f t="shared" si="5"/>
        <v>127111.00660066</v>
      </c>
      <c r="F12" s="14">
        <f t="shared" si="7"/>
        <v>0.018369360104860202</v>
      </c>
      <c r="G12" s="14">
        <f t="shared" si="8"/>
        <v>0.0057657789154434997</v>
      </c>
      <c r="H12" s="14">
        <f t="shared" si="9"/>
        <v>0.0125313283208019</v>
      </c>
      <c r="I12" s="14">
        <v>0.080600000000000005</v>
      </c>
      <c r="J12" s="15">
        <f t="shared" si="6"/>
        <v>0.68611977322400197</v>
      </c>
    </row>
    <row r="13" ht="15">
      <c r="A13" s="2" t="s">
        <v>48</v>
      </c>
      <c r="B13" s="2">
        <f>COUNT('Pharma Companies'!L2:L141)</f>
        <v>140</v>
      </c>
      <c r="C13" s="12">
        <f>SUM('Pharma Companies'!L2:L141)</f>
        <v>174878.89000000001</v>
      </c>
      <c r="D13" s="13">
        <f>WPI!C13</f>
        <v>123.5</v>
      </c>
      <c r="E13" s="12">
        <f t="shared" si="5"/>
        <v>141602.340080972</v>
      </c>
      <c r="F13" s="14">
        <f t="shared" si="7"/>
        <v>0.135145705002787</v>
      </c>
      <c r="G13" s="14">
        <f t="shared" si="8"/>
        <v>0.11400533964645999</v>
      </c>
      <c r="H13" s="14">
        <f t="shared" si="9"/>
        <v>0.018976897689768801</v>
      </c>
      <c r="I13" s="14">
        <v>0.15229999999999999</v>
      </c>
      <c r="J13" s="15">
        <f t="shared" si="6"/>
        <v>0.15642646842451399</v>
      </c>
    </row>
    <row r="14" ht="15">
      <c r="A14" s="2" t="s">
        <v>49</v>
      </c>
      <c r="B14" s="2">
        <f>COUNT('Pharma Companies'!M2:M141)</f>
        <v>140</v>
      </c>
      <c r="C14" s="12">
        <f>SUM('Pharma Companies'!M2:M141)</f>
        <v>189046.17000000001</v>
      </c>
      <c r="D14" s="13">
        <f>WPI!C14</f>
        <v>127.3</v>
      </c>
      <c r="E14" s="12">
        <f t="shared" si="5"/>
        <v>148504.45404556199</v>
      </c>
      <c r="F14" s="14">
        <f t="shared" si="7"/>
        <v>0.0810119506133644</v>
      </c>
      <c r="G14" s="14">
        <f t="shared" si="8"/>
        <v>0.048742937162219002</v>
      </c>
      <c r="H14" s="14">
        <f t="shared" si="9"/>
        <v>0.030769230769230702</v>
      </c>
      <c r="I14" s="14">
        <v>-0.065100000000000005</v>
      </c>
      <c r="J14" s="15">
        <f t="shared" si="6"/>
        <v>0.39832411399586798</v>
      </c>
    </row>
    <row r="15" ht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ht="15">
      <c r="A16" s="3" t="s">
        <v>50</v>
      </c>
      <c r="B16" s="2"/>
      <c r="C16" s="2"/>
      <c r="D16" s="2"/>
      <c r="E16" s="2"/>
      <c r="F16" s="5">
        <f>(C14/C4)^(1/10)-1</f>
        <v>0.125587410727169</v>
      </c>
      <c r="G16" s="5">
        <f>(E14/E4)^(1/10)-1</f>
        <v>0.092221438229565397</v>
      </c>
      <c r="H16" s="5">
        <f>(D14/D4)^(1/10)-1</f>
        <v>0.0305487251300323</v>
      </c>
      <c r="I16" s="2"/>
      <c r="J16" s="2"/>
    </row>
    <row r="17" ht="1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ht="15">
      <c r="A18" s="2" t="s">
        <v>51</v>
      </c>
      <c r="B18" s="2"/>
      <c r="C18" s="2"/>
      <c r="D18" s="2"/>
      <c r="E18" s="2"/>
      <c r="F18" s="6">
        <f>C14/C4</f>
        <v>3.26431657588097</v>
      </c>
      <c r="G18" s="2"/>
      <c r="H18" s="2"/>
      <c r="I18" s="2"/>
      <c r="J18" s="2"/>
    </row>
    <row r="19" ht="15">
      <c r="A19" s="2" t="s">
        <v>52</v>
      </c>
      <c r="B19" s="2"/>
      <c r="C19" s="2"/>
      <c r="D19" s="2"/>
      <c r="E19" s="2"/>
      <c r="F19" s="6">
        <f>D14/D4</f>
        <v>1.3510931861600499</v>
      </c>
      <c r="G19" s="2"/>
      <c r="H19" s="2"/>
      <c r="I19" s="2"/>
      <c r="J19" s="2"/>
    </row>
    <row r="20" ht="15">
      <c r="A20" s="2" t="s">
        <v>53</v>
      </c>
      <c r="B20" s="2"/>
      <c r="C20" s="2"/>
      <c r="D20" s="2"/>
      <c r="E20" s="2"/>
      <c r="F20" s="7">
        <f>LN(E14/E4)/LN(C14/C4)</f>
        <v>0.74564564066443695</v>
      </c>
      <c r="G20" s="2"/>
      <c r="H20" s="2"/>
      <c r="I20" s="2"/>
      <c r="J20" s="2"/>
    </row>
    <row r="21" ht="15">
      <c r="A21" s="2" t="s">
        <v>54</v>
      </c>
      <c r="B21" s="2"/>
      <c r="C21" s="2"/>
      <c r="D21" s="2"/>
      <c r="E21" s="2"/>
      <c r="F21" s="8">
        <f>CORREL(F5:F14,H5:H14)</f>
        <v>0.68277504298061698</v>
      </c>
      <c r="G21" s="2"/>
      <c r="H21" s="2"/>
      <c r="I21" s="2"/>
      <c r="J21" s="2"/>
    </row>
    <row r="22" ht="15">
      <c r="A22" s="2" t="s">
        <v>55</v>
      </c>
      <c r="B22" s="2"/>
      <c r="C22" s="2"/>
      <c r="D22" s="2"/>
      <c r="E22" s="2"/>
      <c r="F22" s="8">
        <f>CORREL(F5:F14,I5:I14)</f>
        <v>0.42641950588579502</v>
      </c>
      <c r="G22" s="2"/>
      <c r="H22" s="2"/>
      <c r="I22" s="2"/>
      <c r="J22" s="2"/>
    </row>
    <row r="23" ht="15">
      <c r="A23" s="2" t="s">
        <v>56</v>
      </c>
      <c r="B23" s="2"/>
      <c r="C23" s="2"/>
      <c r="D23" s="2"/>
      <c r="E23" s="2"/>
      <c r="F23" s="5">
        <f>STDEV(F5:F14)</f>
        <v>0.071871525776790804</v>
      </c>
      <c r="G23" s="2"/>
      <c r="H23" s="2"/>
      <c r="I23" s="2"/>
      <c r="J23" s="2"/>
    </row>
    <row r="24" ht="15">
      <c r="A24" s="2" t="s">
        <v>57</v>
      </c>
      <c r="B24" s="2"/>
      <c r="C24" s="2"/>
      <c r="D24" s="2"/>
      <c r="E24" s="2"/>
      <c r="F24" s="5">
        <f>STDEV(I5:I14)</f>
        <v>0.095412263945004003</v>
      </c>
      <c r="G24" s="2"/>
      <c r="H24" s="2"/>
      <c r="I24" s="2"/>
      <c r="J24" s="2"/>
    </row>
    <row r="25" ht="15">
      <c r="A25" s="2" t="s">
        <v>58</v>
      </c>
      <c r="B25" s="2"/>
      <c r="C25" s="2"/>
      <c r="D25" s="2"/>
      <c r="E25" s="2"/>
      <c r="F25" s="5">
        <f>(C8/C4)^(1/4)-1</f>
        <v>0.18818647449546999</v>
      </c>
      <c r="G25" s="2"/>
      <c r="H25" s="2"/>
      <c r="I25" s="2"/>
      <c r="J25" s="2"/>
    </row>
    <row r="26" ht="15">
      <c r="A26" s="2" t="s">
        <v>59</v>
      </c>
      <c r="B26" s="2"/>
      <c r="C26" s="2"/>
      <c r="D26" s="2"/>
      <c r="E26" s="2"/>
      <c r="F26" s="5">
        <f>(C14/C8)^(1/6)-1</f>
        <v>0.085697844214361704</v>
      </c>
      <c r="G26" s="2"/>
      <c r="H26" s="2"/>
      <c r="I26" s="2"/>
      <c r="J26" s="2"/>
    </row>
    <row r="27" ht="1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ht="15">
      <c r="A28" s="2" t="s">
        <v>60</v>
      </c>
      <c r="B28" s="2"/>
      <c r="C28" s="2"/>
      <c r="D28" s="2"/>
      <c r="E28" s="2"/>
      <c r="F28" s="2"/>
      <c r="G28" s="2"/>
      <c r="H28" s="2"/>
      <c r="I28" s="2"/>
      <c r="J28" s="2"/>
    </row>
    <row r="29" ht="15">
      <c r="A29" s="2" t="s">
        <v>61</v>
      </c>
      <c r="B29" s="2"/>
      <c r="C29" s="2"/>
      <c r="D29" s="2"/>
      <c r="E29" s="2"/>
      <c r="F29" s="2"/>
      <c r="G29" s="2"/>
      <c r="H29" s="2"/>
      <c r="I29" s="2"/>
      <c r="J29" s="2"/>
    </row>
  </sheetData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5"/>
  <cols>
    <col customWidth="1" min="1" max="1" style="0" width="32"/>
    <col customWidth="1" min="2" max="2" style="0" width="12"/>
    <col customWidth="1" min="3" max="4" style="0" width="16"/>
    <col customWidth="1" min="5" max="5" style="0" width="14"/>
    <col customWidth="1" min="6" max="7" style="0" width="16"/>
  </cols>
  <sheetData>
    <row r="1" ht="15">
      <c r="A1" s="10" t="s">
        <v>62</v>
      </c>
      <c r="B1" s="2"/>
      <c r="C1" s="2"/>
      <c r="D1" s="2"/>
      <c r="E1" s="2"/>
      <c r="F1" s="2"/>
      <c r="G1" s="2"/>
    </row>
    <row r="2" ht="15">
      <c r="A2" s="2"/>
      <c r="B2" s="2"/>
      <c r="C2" s="2"/>
      <c r="D2" s="2"/>
      <c r="E2" s="2"/>
      <c r="F2" s="2"/>
      <c r="G2" s="2"/>
    </row>
    <row r="3" ht="39.549999999999997">
      <c r="A3" s="11" t="s">
        <v>63</v>
      </c>
      <c r="B3" s="11" t="s">
        <v>30</v>
      </c>
      <c r="C3" s="11" t="s">
        <v>64</v>
      </c>
      <c r="D3" s="11" t="s">
        <v>65</v>
      </c>
      <c r="E3" s="11" t="s">
        <v>66</v>
      </c>
      <c r="F3" s="11" t="s">
        <v>67</v>
      </c>
      <c r="G3" s="11" t="s">
        <v>68</v>
      </c>
    </row>
    <row r="4" ht="15">
      <c r="A4" s="2" t="s">
        <v>69</v>
      </c>
      <c r="B4" s="2">
        <f>COUNTIF('Pharma Companies'!$B$2:$B$141,"Small")</f>
        <v>35</v>
      </c>
      <c r="C4" s="12">
        <f>SUMIF('Pharma Companies'!$B$2:$B$141,"Small",'Pharma Companies'!$C$2:$C$141)</f>
        <v>503.44999999999999</v>
      </c>
      <c r="D4" s="12">
        <f>SUMIF('Pharma Companies'!$B$2:$B$141,"Small",'Pharma Companies'!$M$2:$M$141)</f>
        <v>2350.75</v>
      </c>
      <c r="E4" s="14">
        <f t="shared" ref="E4:E8" si="10">(D4/C4)^(1/10)-1</f>
        <v>0.16660816032806</v>
      </c>
      <c r="F4" s="14">
        <v>0.1399</v>
      </c>
      <c r="G4" s="15">
        <f>COUNTIFS('Pharma Companies'!$B$2:$B$141,"Small",'Pharma Companies'!$P$2:$P$141,"Yes")/B4</f>
        <v>0.94285714285714295</v>
      </c>
    </row>
    <row r="5" ht="15">
      <c r="A5" s="2" t="s">
        <v>70</v>
      </c>
      <c r="B5" s="2">
        <f>COUNTIF('Pharma Companies'!$B$2:$B$141,"Lower-mid")</f>
        <v>35</v>
      </c>
      <c r="C5" s="12">
        <f>SUMIF('Pharma Companies'!$B$2:$B$141,"Lower-mid",'Pharma Companies'!$C$2:$C$141)</f>
        <v>2548.2600000000002</v>
      </c>
      <c r="D5" s="12">
        <f>SUMIF('Pharma Companies'!$B$2:$B$141,"Lower-mid",'Pharma Companies'!$M$2:$M$141)</f>
        <v>7857.3400000000001</v>
      </c>
      <c r="E5" s="14">
        <f t="shared" si="10"/>
        <v>0.11918835028093699</v>
      </c>
      <c r="F5" s="14">
        <v>0.1067</v>
      </c>
      <c r="G5" s="15">
        <f>COUNTIFS('Pharma Companies'!$B$2:$B$141,"Lower-mid",'Pharma Companies'!$P$2:$P$141,"Yes")/B5</f>
        <v>0.85714285714285698</v>
      </c>
    </row>
    <row r="6" ht="15">
      <c r="A6" s="2" t="s">
        <v>71</v>
      </c>
      <c r="B6" s="2">
        <f>COUNTIF('Pharma Companies'!$B$2:$B$141,"Upper-mid")</f>
        <v>35</v>
      </c>
      <c r="C6" s="12">
        <f>SUMIF('Pharma Companies'!$B$2:$B$141,"Upper-mid",'Pharma Companies'!$C$2:$C$141)</f>
        <v>7960.1400000000003</v>
      </c>
      <c r="D6" s="12">
        <f>SUMIF('Pharma Companies'!$B$2:$B$141,"Upper-mid",'Pharma Companies'!$M$2:$M$141)</f>
        <v>27379.639999999999</v>
      </c>
      <c r="E6" s="14">
        <f t="shared" si="10"/>
        <v>0.131489954919635</v>
      </c>
      <c r="F6" s="14">
        <v>0.0964</v>
      </c>
      <c r="G6" s="15">
        <f>COUNTIFS('Pharma Companies'!$B$2:$B$141,"Upper-mid",'Pharma Companies'!$P$2:$P$141,"Yes")/B6</f>
        <v>0.77142857142857202</v>
      </c>
    </row>
    <row r="7" ht="15">
      <c r="A7" s="2" t="s">
        <v>72</v>
      </c>
      <c r="B7" s="2">
        <f>COUNTIF('Pharma Companies'!$B$2:$B$141,"Large")</f>
        <v>35</v>
      </c>
      <c r="C7" s="12">
        <f>SUMIF('Pharma Companies'!$B$2:$B$141,"Large",'Pharma Companies'!$C$2:$C$141)</f>
        <v>46901.089999999997</v>
      </c>
      <c r="D7" s="12">
        <f>SUMIF('Pharma Companies'!$B$2:$B$141,"Large",'Pharma Companies'!$M$2:$M$141)</f>
        <v>151458.44</v>
      </c>
      <c r="E7" s="14">
        <f t="shared" si="10"/>
        <v>0.124374672867255</v>
      </c>
      <c r="F7" s="14">
        <v>0.1048</v>
      </c>
      <c r="G7" s="15">
        <f>COUNTIFS('Pharma Companies'!$B$2:$B$141,"Large",'Pharma Companies'!$P$2:$P$141,"Yes")/B7</f>
        <v>0.82857142857142896</v>
      </c>
    </row>
    <row r="8" ht="15">
      <c r="A8" s="2" t="s">
        <v>73</v>
      </c>
      <c r="B8" s="2">
        <f>COUNTIF('Pharma Companies'!$B$2:$B$141,"*")</f>
        <v>140</v>
      </c>
      <c r="C8" s="12">
        <f>SUMIF('Pharma Companies'!$B$2:$B$141,"*",'Pharma Companies'!$C$2:$C$141)</f>
        <v>57912.940000000002</v>
      </c>
      <c r="D8" s="12">
        <f>SUMIF('Pharma Companies'!$B$2:$B$141,"*",'Pharma Companies'!$M$2:$M$141)</f>
        <v>189046.17000000001</v>
      </c>
      <c r="E8" s="14">
        <f t="shared" si="10"/>
        <v>0.125587410727169</v>
      </c>
      <c r="F8" s="14">
        <v>0.108</v>
      </c>
      <c r="G8" s="15">
        <f>COUNTIFS('Pharma Companies'!$B$2:$B$141,"*",'Pharma Companies'!$P$2:$P$141,"Yes")/B8</f>
        <v>0.84999999999999998</v>
      </c>
    </row>
    <row r="9" ht="15">
      <c r="A9" s="2"/>
      <c r="B9" s="2"/>
      <c r="C9" s="2"/>
      <c r="D9" s="2"/>
      <c r="E9" s="2"/>
      <c r="F9" s="2"/>
      <c r="G9" s="2"/>
    </row>
    <row r="10" ht="15">
      <c r="A10" s="2" t="s">
        <v>74</v>
      </c>
      <c r="B10" s="2"/>
      <c r="C10" s="2"/>
      <c r="D10" s="2"/>
      <c r="E10" s="2"/>
      <c r="F10" s="2"/>
      <c r="G10" s="2"/>
    </row>
    <row r="11" ht="15">
      <c r="A11" s="2"/>
      <c r="B11" s="2"/>
      <c r="C11" s="2"/>
      <c r="D11" s="2"/>
      <c r="E11" s="2"/>
      <c r="F11" s="2"/>
      <c r="G11" s="2"/>
    </row>
    <row r="12" ht="15">
      <c r="A12" s="11" t="s">
        <v>75</v>
      </c>
      <c r="B12" s="11" t="s">
        <v>30</v>
      </c>
      <c r="C12" s="11" t="s">
        <v>76</v>
      </c>
      <c r="D12" s="2"/>
      <c r="E12" s="2"/>
      <c r="F12" s="2"/>
      <c r="G12" s="2"/>
    </row>
    <row r="13" ht="15">
      <c r="A13" s="2" t="s">
        <v>77</v>
      </c>
      <c r="B13" s="2">
        <f>COUNTIF('Pharma Companies'!$N$2:$N$141,"&lt;0")</f>
        <v>12</v>
      </c>
      <c r="C13" s="14">
        <f t="shared" ref="C13:C17" si="11">B13/SUM($B$13:$B$17)</f>
        <v>0.085714285714285701</v>
      </c>
      <c r="D13" s="2"/>
      <c r="E13" s="2"/>
      <c r="F13" s="2"/>
      <c r="G13" s="2"/>
    </row>
    <row r="14" ht="15">
      <c r="A14" s="2" t="s">
        <v>78</v>
      </c>
      <c r="B14" s="2">
        <f>COUNTIFS('Pharma Companies'!$N$2:$N$141,"&gt;=0",'Pharma Companies'!$O$2:$O$141,"&lt;=0")</f>
        <v>9</v>
      </c>
      <c r="C14" s="14">
        <f t="shared" si="11"/>
        <v>0.064285714285714293</v>
      </c>
      <c r="D14" s="2"/>
      <c r="E14" s="2"/>
      <c r="F14" s="2"/>
      <c r="G14" s="2"/>
    </row>
    <row r="15" ht="15">
      <c r="A15" s="2" t="s">
        <v>79</v>
      </c>
      <c r="B15" s="2">
        <f>COUNTIFS('Pharma Companies'!$O$2:$O$141,"&gt;0",'Pharma Companies'!$N$2:$N$141,"&lt;0.1")</f>
        <v>40</v>
      </c>
      <c r="C15" s="14">
        <f t="shared" si="11"/>
        <v>0.28571428571428598</v>
      </c>
      <c r="D15" s="2"/>
      <c r="E15" s="2"/>
      <c r="F15" s="2"/>
      <c r="G15" s="2"/>
    </row>
    <row r="16" ht="15">
      <c r="A16" s="2" t="s">
        <v>80</v>
      </c>
      <c r="B16" s="2">
        <f>COUNTIFS('Pharma Companies'!$N$2:$N$141,"&gt;=0.1",'Pharma Companies'!$N$2:$N$141,"&lt;0.2")</f>
        <v>59</v>
      </c>
      <c r="C16" s="14">
        <f t="shared" si="11"/>
        <v>0.42142857142857099</v>
      </c>
      <c r="D16" s="2"/>
      <c r="E16" s="2"/>
      <c r="F16" s="2"/>
      <c r="G16" s="2"/>
    </row>
    <row r="17" ht="15">
      <c r="A17" s="2" t="s">
        <v>81</v>
      </c>
      <c r="B17" s="2">
        <f>COUNTIF('Pharma Companies'!$N$2:$N$141,"&gt;=0.2")</f>
        <v>20</v>
      </c>
      <c r="C17" s="14">
        <f t="shared" si="11"/>
        <v>0.14285714285714299</v>
      </c>
      <c r="D17" s="2"/>
      <c r="E17" s="2"/>
      <c r="F17" s="2"/>
      <c r="G17" s="2"/>
    </row>
    <row r="18" ht="15">
      <c r="A18" s="2"/>
      <c r="B18" s="2"/>
      <c r="C18" s="2"/>
      <c r="D18" s="2"/>
      <c r="E18" s="2"/>
      <c r="F18" s="2"/>
      <c r="G18" s="2"/>
    </row>
    <row r="19" ht="15">
      <c r="A19" s="2" t="s">
        <v>82</v>
      </c>
      <c r="B19" s="2"/>
      <c r="C19" s="14">
        <f>COUNTIF('Pharma Companies'!Q2:Q141,"&lt;0")/140</f>
        <v>0.33571428571428602</v>
      </c>
      <c r="D19" s="2"/>
      <c r="E19" s="2"/>
      <c r="F19" s="2"/>
      <c r="G19" s="2"/>
    </row>
  </sheetData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5"/>
  <cols>
    <col customWidth="1" min="1" max="1" style="0" width="42"/>
    <col customWidth="1" min="2" max="3" style="0" width="16"/>
    <col customWidth="1" min="4" max="4" style="0" width="10"/>
    <col customWidth="1" min="5" max="5" style="0" width="12"/>
    <col customWidth="1" min="6" max="6" style="0" width="14"/>
  </cols>
  <sheetData>
    <row r="1" ht="26.850000000000001">
      <c r="A1" s="11">
        <f>-'Yearly Analysis'!AA46</f>
        <v>0</v>
      </c>
      <c r="B1" s="11" t="s">
        <v>64</v>
      </c>
      <c r="C1" s="11" t="s">
        <v>65</v>
      </c>
      <c r="D1" s="11" t="s">
        <v>83</v>
      </c>
      <c r="E1" s="11" t="s">
        <v>84</v>
      </c>
      <c r="F1" s="11" t="s">
        <v>85</v>
      </c>
    </row>
    <row r="2" ht="15">
      <c r="A2" s="2" t="s">
        <v>86</v>
      </c>
      <c r="B2" s="12">
        <v>1853</v>
      </c>
      <c r="C2" s="12">
        <v>13136</v>
      </c>
      <c r="D2" s="14">
        <f t="shared" ref="D2:D9" si="12">(C2/B2)^(1/10)-1</f>
        <v>0.21635059535986001</v>
      </c>
      <c r="E2" s="14">
        <f>(1+D2)/(1+WPI!$J$5)-1</f>
        <v>0.180294114872039</v>
      </c>
      <c r="F2" s="14">
        <f>C2/SUM('Pharma Companies'!$M$2:$M$141)</f>
        <v>0.069485671145836994</v>
      </c>
    </row>
    <row r="3" ht="15">
      <c r="A3" s="2" t="s">
        <v>87</v>
      </c>
      <c r="B3" s="12">
        <v>3130</v>
      </c>
      <c r="C3" s="12">
        <v>13022</v>
      </c>
      <c r="D3" s="14">
        <f t="shared" si="12"/>
        <v>0.153223106028233</v>
      </c>
      <c r="E3" s="14">
        <f>(1+D3)/(1+WPI!$J$5)-1</f>
        <v>0.119037924075567</v>
      </c>
      <c r="F3" s="14">
        <f>C3/SUM('Pharma Companies'!$M$2:$M$141)</f>
        <v>0.0688826438536152</v>
      </c>
    </row>
    <row r="4" ht="15">
      <c r="A4" s="2" t="s">
        <v>88</v>
      </c>
      <c r="B4" s="12">
        <v>5412</v>
      </c>
      <c r="C4" s="12">
        <v>12220</v>
      </c>
      <c r="D4" s="14">
        <f t="shared" si="12"/>
        <v>0.084854117833979698</v>
      </c>
      <c r="E4" s="14">
        <f>(1+D4)/(1+WPI!$J$5)-1</f>
        <v>0.052695609028185798</v>
      </c>
      <c r="F4" s="14">
        <f>C4/SUM('Pharma Companies'!$M$2:$M$141)</f>
        <v>0.064640293955704101</v>
      </c>
    </row>
    <row r="5" ht="15">
      <c r="A5" s="2" t="s">
        <v>89</v>
      </c>
      <c r="B5" s="12">
        <v>1867</v>
      </c>
      <c r="C5" s="12">
        <v>11609</v>
      </c>
      <c r="D5" s="14">
        <f t="shared" si="12"/>
        <v>0.20050797470844001</v>
      </c>
      <c r="E5" s="14">
        <f>(1+D5)/(1+WPI!$J$5)-1</f>
        <v>0.16492111962679201</v>
      </c>
      <c r="F5" s="14">
        <f>C5/SUM('Pharma Companies'!$M$2:$M$141)</f>
        <v>0.061408279257918801</v>
      </c>
    </row>
    <row r="6" ht="15">
      <c r="A6" s="2" t="s">
        <v>90</v>
      </c>
      <c r="B6" s="12">
        <v>4248</v>
      </c>
      <c r="C6" s="12">
        <v>10992</v>
      </c>
      <c r="D6" s="14">
        <f t="shared" si="12"/>
        <v>0.099737973097864696</v>
      </c>
      <c r="E6" s="14">
        <f>(1+D6)/(1+WPI!$J$5)-1</f>
        <v>0.067138259725761498</v>
      </c>
      <c r="F6" s="14">
        <f>C6/SUM('Pharma Companies'!$M$2:$M$141)</f>
        <v>0.0581445262815957</v>
      </c>
    </row>
    <row r="7" ht="15">
      <c r="A7" s="2" t="s">
        <v>91</v>
      </c>
      <c r="B7" s="12">
        <v>3107</v>
      </c>
      <c r="C7" s="12">
        <v>10633</v>
      </c>
      <c r="D7" s="14">
        <f t="shared" si="12"/>
        <v>0.13091888429981099</v>
      </c>
      <c r="E7" s="14">
        <f>(1+D7)/(1+WPI!$J$5)-1</f>
        <v>0.097394870055381499</v>
      </c>
      <c r="F7" s="14">
        <f>C7/SUM('Pharma Companies'!$M$2:$M$141)</f>
        <v>0.056245519282406002</v>
      </c>
    </row>
    <row r="8" ht="15">
      <c r="A8" s="2" t="s">
        <v>92</v>
      </c>
      <c r="B8" s="12">
        <v>1343</v>
      </c>
      <c r="C8" s="12">
        <v>6775</v>
      </c>
      <c r="D8" s="14">
        <f t="shared" si="12"/>
        <v>0.17566429456952801</v>
      </c>
      <c r="E8" s="14">
        <f>(1+D8)/(1+WPI!$J$5)-1</f>
        <v>0.14081388477889301</v>
      </c>
      <c r="F8" s="14">
        <f>C8/SUM('Pharma Companies'!$M$2:$M$141)</f>
        <v>0.035837806182479101</v>
      </c>
    </row>
    <row r="9" ht="15">
      <c r="A9" s="2" t="s">
        <v>93</v>
      </c>
      <c r="B9" s="12">
        <v>993</v>
      </c>
      <c r="C9" s="12">
        <v>6719</v>
      </c>
      <c r="D9" s="14">
        <f t="shared" si="12"/>
        <v>0.21069720347502699</v>
      </c>
      <c r="E9" s="14">
        <f>(1+D9)/(1+WPI!$J$5)-1</f>
        <v>0.17480830741143599</v>
      </c>
      <c r="F9" s="14">
        <f>C9/SUM('Pharma Companies'!$M$2:$M$141)</f>
        <v>0.035541582249457901</v>
      </c>
    </row>
    <row r="10" ht="15">
      <c r="A10" s="2" t="s">
        <v>94</v>
      </c>
      <c r="B10" s="12">
        <v>1028</v>
      </c>
      <c r="C10" s="12">
        <v>6413</v>
      </c>
      <c r="D10" s="14">
        <f t="shared" ref="D10:D21" si="13">(C10/B10)^(1/10)-1</f>
        <v>0.20089991068771901</v>
      </c>
      <c r="E10" s="14">
        <f>(1+D10)/(1+WPI!$J$5)-1</f>
        <v>0.16530143738346001</v>
      </c>
      <c r="F10" s="14">
        <f>C10/SUM('Pharma Companies'!$M$2:$M$141)</f>
        <v>0.033922930044020499</v>
      </c>
    </row>
    <row r="11" ht="15">
      <c r="A11" s="2" t="s">
        <v>95</v>
      </c>
      <c r="B11" s="12">
        <v>1374</v>
      </c>
      <c r="C11" s="12">
        <v>6026</v>
      </c>
      <c r="D11" s="14">
        <f t="shared" si="13"/>
        <v>0.15932243266806601</v>
      </c>
      <c r="E11" s="14">
        <f>(1+D11)/(1+WPI!$J$5)-1</f>
        <v>0.124956447373981</v>
      </c>
      <c r="F11" s="14">
        <f>C11/SUM('Pharma Companies'!$M$2:$M$141)</f>
        <v>0.031875811078320201</v>
      </c>
    </row>
    <row r="12" ht="15">
      <c r="A12" s="2" t="s">
        <v>96</v>
      </c>
      <c r="B12" s="12">
        <v>1550</v>
      </c>
      <c r="C12" s="12">
        <v>5971</v>
      </c>
      <c r="D12" s="14">
        <f t="shared" si="13"/>
        <v>0.144383367948617</v>
      </c>
      <c r="E12" s="14">
        <f>(1+D12)/(1+WPI!$J$5)-1</f>
        <v>0.1104602238038</v>
      </c>
      <c r="F12" s="14">
        <f>C12/SUM('Pharma Companies'!$M$2:$M$141)</f>
        <v>0.031584876858388601</v>
      </c>
    </row>
    <row r="13" ht="15">
      <c r="A13" s="2" t="s">
        <v>97</v>
      </c>
      <c r="B13" s="12">
        <v>935</v>
      </c>
      <c r="C13" s="12">
        <v>5198</v>
      </c>
      <c r="D13" s="14">
        <f t="shared" si="13"/>
        <v>0.187141442994473</v>
      </c>
      <c r="E13" s="14">
        <f>(1+D13)/(1+WPI!$J$5)-1</f>
        <v>0.15195081420791801</v>
      </c>
      <c r="F13" s="14">
        <f>C13/SUM('Pharma Companies'!$M$2:$M$141)</f>
        <v>0.027495928640077699</v>
      </c>
    </row>
    <row r="14" ht="15">
      <c r="A14" s="2" t="s">
        <v>98</v>
      </c>
      <c r="B14" s="12">
        <v>903</v>
      </c>
      <c r="C14" s="12">
        <v>4982</v>
      </c>
      <c r="D14" s="14">
        <f t="shared" si="13"/>
        <v>0.18623735855522</v>
      </c>
      <c r="E14" s="14">
        <f>(1+D14)/(1+WPI!$J$5)-1</f>
        <v>0.15107352969219701</v>
      </c>
      <c r="F14" s="14">
        <f>C14/SUM('Pharma Companies'!$M$2:$M$141)</f>
        <v>0.026353350612710099</v>
      </c>
    </row>
    <row r="15" ht="15">
      <c r="A15" s="2" t="s">
        <v>99</v>
      </c>
      <c r="B15" s="12">
        <v>567</v>
      </c>
      <c r="C15" s="12">
        <v>4836</v>
      </c>
      <c r="D15" s="14">
        <f t="shared" si="13"/>
        <v>0.23905425471026701</v>
      </c>
      <c r="E15" s="14">
        <f>(1+D15)/(1+WPI!$J$5)-1</f>
        <v>0.20232476591917201</v>
      </c>
      <c r="F15" s="14">
        <f>C15/SUM('Pharma Companies'!$M$2:$M$141)</f>
        <v>0.0255810525016191</v>
      </c>
    </row>
    <row r="16" ht="15">
      <c r="A16" s="2" t="s">
        <v>100</v>
      </c>
      <c r="B16" s="12">
        <v>1589</v>
      </c>
      <c r="C16" s="12">
        <v>4303</v>
      </c>
      <c r="D16" s="14">
        <f t="shared" si="13"/>
        <v>0.104751868798311</v>
      </c>
      <c r="E16" s="14">
        <f>(1+D16)/(1+WPI!$J$5)-1</f>
        <v>0.072003527692410904</v>
      </c>
      <c r="F16" s="14">
        <f>C16/SUM('Pharma Companies'!$M$2:$M$141)</f>
        <v>0.0227616354248277</v>
      </c>
    </row>
    <row r="17" ht="15">
      <c r="A17" s="2" t="s">
        <v>101</v>
      </c>
      <c r="B17" s="12">
        <v>1573</v>
      </c>
      <c r="C17" s="12">
        <v>3187</v>
      </c>
      <c r="D17" s="14">
        <f t="shared" si="13"/>
        <v>0.073162118389831707</v>
      </c>
      <c r="E17" s="14">
        <f>(1+D17)/(1+WPI!$J$5)-1</f>
        <v>0.041350197444009799</v>
      </c>
      <c r="F17" s="14">
        <f>C17/SUM('Pharma Companies'!$M$2:$M$141)</f>
        <v>0.0168583156167618</v>
      </c>
    </row>
    <row r="18" ht="15">
      <c r="A18" s="2" t="s">
        <v>102</v>
      </c>
      <c r="B18" s="12">
        <v>934</v>
      </c>
      <c r="C18" s="12">
        <v>2843</v>
      </c>
      <c r="D18" s="14">
        <f t="shared" si="13"/>
        <v>0.117745675668636</v>
      </c>
      <c r="E18" s="14">
        <f>(1+D18)/(1+WPI!$J$5)-1</f>
        <v>0.084612157011403302</v>
      </c>
      <c r="F18" s="14">
        <f>C18/SUM('Pharma Companies'!$M$2:$M$141)</f>
        <v>0.015038654313917099</v>
      </c>
    </row>
    <row r="19" ht="15">
      <c r="A19" s="2" t="s">
        <v>103</v>
      </c>
      <c r="B19" s="12">
        <v>187</v>
      </c>
      <c r="C19" s="12">
        <v>2645</v>
      </c>
      <c r="D19" s="14">
        <f t="shared" si="13"/>
        <v>0.30334204929286102</v>
      </c>
      <c r="E19" s="14">
        <f>(1+D19)/(1+WPI!$J$5)-1</f>
        <v>0.26470686684747302</v>
      </c>
      <c r="F19" s="14">
        <f>C19/SUM('Pharma Companies'!$M$2:$M$141)</f>
        <v>0.0139912911221634</v>
      </c>
    </row>
    <row r="20" ht="15">
      <c r="A20" s="2" t="s">
        <v>104</v>
      </c>
      <c r="B20" s="12">
        <v>807</v>
      </c>
      <c r="C20" s="12">
        <v>2607</v>
      </c>
      <c r="D20" s="14">
        <f t="shared" si="13"/>
        <v>0.124415308266127</v>
      </c>
      <c r="E20" s="14">
        <f>(1+D20)/(1+WPI!$J$5)-1</f>
        <v>0.091084080594298303</v>
      </c>
      <c r="F20" s="14">
        <f>C20/SUM('Pharma Companies'!$M$2:$M$141)</f>
        <v>0.0137902820247562</v>
      </c>
    </row>
    <row r="21" ht="15">
      <c r="A21" s="2" t="s">
        <v>105</v>
      </c>
      <c r="B21" s="12">
        <v>339</v>
      </c>
      <c r="C21" s="12">
        <v>2427</v>
      </c>
      <c r="D21" s="14">
        <f t="shared" si="13"/>
        <v>0.217550568524705</v>
      </c>
      <c r="E21" s="14">
        <f>(1+D21)/(1+WPI!$J$5)-1</f>
        <v>0.181458517035259</v>
      </c>
      <c r="F21" s="14">
        <f>C21/SUM('Pharma Companies'!$M$2:$M$141)</f>
        <v>0.012838133668616501</v>
      </c>
    </row>
    <row r="22" ht="15">
      <c r="A22" s="2"/>
      <c r="B22" s="2"/>
      <c r="C22" s="2"/>
      <c r="D22" s="2"/>
      <c r="E22" s="2"/>
      <c r="F22" s="2"/>
    </row>
    <row r="23" ht="15">
      <c r="A23" s="2" t="s">
        <v>106</v>
      </c>
      <c r="B23" s="2"/>
      <c r="C23" s="2"/>
      <c r="D23" s="2"/>
      <c r="E23" s="2"/>
      <c r="F23" s="14">
        <f>SUM(F2:F11)</f>
        <v>0.51598506333135397</v>
      </c>
    </row>
  </sheetData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5"/>
  <cols>
    <col customWidth="1" min="1" max="2" style="0" width="11"/>
    <col customWidth="1" min="3" max="3" style="0" width="16"/>
    <col customWidth="1" min="4" max="5" style="0" width="14"/>
    <col customWidth="1" min="6" max="6" style="0" width="12"/>
    <col customWidth="1" min="7" max="7" style="0" width="13"/>
    <col customWidth="1" min="8" max="8" style="0" width="4"/>
    <col customWidth="1" min="9" max="9" style="0" width="30"/>
    <col customWidth="1" min="10" max="10" style="0" width="10"/>
  </cols>
  <sheetData>
    <row r="1" ht="15">
      <c r="A1" s="10" t="s">
        <v>107</v>
      </c>
      <c r="B1" s="2"/>
      <c r="C1" s="2"/>
      <c r="D1" s="2"/>
      <c r="E1" s="2"/>
      <c r="F1" s="2"/>
      <c r="G1" s="2"/>
      <c r="H1" s="2"/>
      <c r="I1" s="2"/>
      <c r="J1" s="2"/>
    </row>
    <row r="2" ht="15">
      <c r="A2" s="2"/>
      <c r="B2" s="2"/>
      <c r="C2" s="2"/>
      <c r="D2" s="2"/>
      <c r="E2" s="2"/>
      <c r="F2" s="2"/>
      <c r="G2" s="2"/>
      <c r="H2" s="2"/>
      <c r="I2" s="2"/>
      <c r="J2" s="2"/>
    </row>
    <row r="3" ht="52.200000000000003">
      <c r="A3" s="11" t="s">
        <v>29</v>
      </c>
      <c r="B3" s="11" t="s">
        <v>108</v>
      </c>
      <c r="C3" s="11" t="s">
        <v>109</v>
      </c>
      <c r="D3" s="11" t="s">
        <v>110</v>
      </c>
      <c r="E3" s="11" t="s">
        <v>111</v>
      </c>
      <c r="F3" s="11" t="s">
        <v>36</v>
      </c>
      <c r="G3" s="11" t="s">
        <v>112</v>
      </c>
      <c r="H3" s="2"/>
      <c r="I3" s="2"/>
      <c r="J3" s="2"/>
    </row>
    <row r="4" ht="15">
      <c r="A4" s="2" t="s">
        <v>113</v>
      </c>
      <c r="B4" s="2" t="s">
        <v>114</v>
      </c>
      <c r="C4" s="13">
        <v>94.219999999999999</v>
      </c>
      <c r="D4" s="13">
        <v>83.780000000000001</v>
      </c>
      <c r="E4" s="13">
        <v>88.200000000000003</v>
      </c>
      <c r="F4" s="2"/>
      <c r="G4" s="2"/>
      <c r="H4" s="2"/>
      <c r="I4" s="3" t="s">
        <v>115</v>
      </c>
      <c r="J4" s="16">
        <f>(C14/C4)^(1/10)-1</f>
        <v>0.0305487251300323</v>
      </c>
    </row>
    <row r="5" ht="15">
      <c r="A5" s="2" t="s">
        <v>116</v>
      </c>
      <c r="B5" s="2" t="s">
        <v>117</v>
      </c>
      <c r="C5" s="13">
        <v>96.459999999999994</v>
      </c>
      <c r="D5" s="13">
        <v>91.799999999999997</v>
      </c>
      <c r="E5" s="13">
        <v>93.230000000000004</v>
      </c>
      <c r="F5" s="14">
        <f t="shared" ref="F5:F9" si="14">C5/C4-1</f>
        <v>0.0237741456166418</v>
      </c>
      <c r="G5" s="14">
        <f t="shared" ref="G5:G9" si="15">D5/D4-1</f>
        <v>0.095726903795655197</v>
      </c>
      <c r="H5" s="2"/>
      <c r="I5" s="3" t="s">
        <v>118</v>
      </c>
      <c r="J5" s="16">
        <f>J4</f>
        <v>0.0305487251300323</v>
      </c>
    </row>
    <row r="6" ht="15">
      <c r="A6" s="2" t="s">
        <v>119</v>
      </c>
      <c r="B6" s="2" t="s">
        <v>120</v>
      </c>
      <c r="C6" s="13">
        <v>100</v>
      </c>
      <c r="D6" s="13">
        <v>100</v>
      </c>
      <c r="E6" s="13">
        <v>100</v>
      </c>
      <c r="F6" s="14">
        <f t="shared" si="14"/>
        <v>0.0366991499066971</v>
      </c>
      <c r="G6" s="14">
        <f t="shared" si="15"/>
        <v>0.089324618736383393</v>
      </c>
      <c r="H6" s="2"/>
      <c r="I6" s="3" t="s">
        <v>121</v>
      </c>
      <c r="J6" s="16">
        <f>(D14/D4)^(1/10)-1</f>
        <v>0.038127494192018697</v>
      </c>
    </row>
    <row r="7" ht="15">
      <c r="A7" s="2" t="s">
        <v>122</v>
      </c>
      <c r="B7" s="2" t="s">
        <v>123</v>
      </c>
      <c r="C7" s="13">
        <v>104.8</v>
      </c>
      <c r="D7" s="13">
        <v>106.90000000000001</v>
      </c>
      <c r="E7" s="13">
        <v>105.3</v>
      </c>
      <c r="F7" s="14">
        <f t="shared" si="14"/>
        <v>0.048000000000000001</v>
      </c>
      <c r="G7" s="14">
        <f t="shared" si="15"/>
        <v>0.069000000000000006</v>
      </c>
      <c r="H7" s="2"/>
      <c r="I7" s="2"/>
      <c r="J7" s="2"/>
    </row>
    <row r="8" ht="15">
      <c r="A8" s="2" t="s">
        <v>124</v>
      </c>
      <c r="B8" s="2" t="s">
        <v>125</v>
      </c>
      <c r="C8" s="13">
        <v>108.3</v>
      </c>
      <c r="D8" s="13">
        <v>112.5</v>
      </c>
      <c r="E8" s="13">
        <v>108.5</v>
      </c>
      <c r="F8" s="14">
        <f t="shared" si="14"/>
        <v>0.0333969465648856</v>
      </c>
      <c r="G8" s="14">
        <f t="shared" si="15"/>
        <v>0.052385406922357297</v>
      </c>
      <c r="H8" s="2"/>
      <c r="I8" s="2"/>
      <c r="J8" s="2"/>
    </row>
    <row r="9" ht="15">
      <c r="A9" s="2" t="s">
        <v>126</v>
      </c>
      <c r="B9" s="2" t="s">
        <v>127</v>
      </c>
      <c r="C9" s="13">
        <v>114.5</v>
      </c>
      <c r="D9" s="13">
        <v>113.90000000000001</v>
      </c>
      <c r="E9" s="13">
        <v>111.2</v>
      </c>
      <c r="F9" s="14">
        <f t="shared" si="14"/>
        <v>0.057248384118190297</v>
      </c>
      <c r="G9" s="14">
        <f t="shared" si="15"/>
        <v>0.012444444444444499</v>
      </c>
      <c r="H9" s="2"/>
      <c r="I9" s="2"/>
      <c r="J9" s="2"/>
    </row>
    <row r="10" ht="15">
      <c r="A10" s="2" t="s">
        <v>128</v>
      </c>
      <c r="B10" s="2" t="s">
        <v>129</v>
      </c>
      <c r="C10" s="13">
        <v>118.7</v>
      </c>
      <c r="D10" s="13">
        <v>109.7</v>
      </c>
      <c r="E10" s="13">
        <v>109.2</v>
      </c>
      <c r="F10" s="14">
        <f>C10/C9-1</f>
        <v>0.036681222707423598</v>
      </c>
      <c r="G10" s="14">
        <f>D10/D9-1</f>
        <v>-0.036874451273046602</v>
      </c>
      <c r="H10" s="2"/>
      <c r="I10" s="2"/>
      <c r="J10" s="2"/>
    </row>
    <row r="11" ht="15">
      <c r="A11" s="2" t="s">
        <v>130</v>
      </c>
      <c r="B11" s="2" t="s">
        <v>131</v>
      </c>
      <c r="C11" s="13">
        <v>119.7</v>
      </c>
      <c r="D11" s="13">
        <v>111.59999999999999</v>
      </c>
      <c r="E11" s="13">
        <v>110.7</v>
      </c>
      <c r="F11" s="14">
        <f t="shared" ref="F11:F15" si="16">C11/C10-1</f>
        <v>0.0084245998315080096</v>
      </c>
      <c r="G11" s="14">
        <f t="shared" ref="G11:G15" si="17">D11/D10-1</f>
        <v>0.017319963536918798</v>
      </c>
      <c r="H11" s="2"/>
      <c r="I11" s="2"/>
      <c r="J11" s="2"/>
    </row>
    <row r="12" ht="15">
      <c r="A12" s="2" t="s">
        <v>132</v>
      </c>
      <c r="B12" s="2" t="s">
        <v>133</v>
      </c>
      <c r="C12" s="13">
        <v>121.2</v>
      </c>
      <c r="D12" s="13">
        <v>114.90000000000001</v>
      </c>
      <c r="E12" s="13">
        <v>113.8</v>
      </c>
      <c r="F12" s="14">
        <f t="shared" si="16"/>
        <v>0.0125313283208019</v>
      </c>
      <c r="G12" s="14">
        <f t="shared" si="17"/>
        <v>0.0295698924731185</v>
      </c>
      <c r="H12" s="2"/>
      <c r="I12" s="2"/>
      <c r="J12" s="2"/>
    </row>
    <row r="13" ht="15">
      <c r="A13" s="2" t="s">
        <v>134</v>
      </c>
      <c r="B13" s="2" t="s">
        <v>135</v>
      </c>
      <c r="C13" s="13">
        <v>123.5</v>
      </c>
      <c r="D13" s="13">
        <v>119.8</v>
      </c>
      <c r="E13" s="13">
        <v>117.90000000000001</v>
      </c>
      <c r="F13" s="14">
        <f t="shared" si="16"/>
        <v>0.018976897689768801</v>
      </c>
      <c r="G13" s="14">
        <f t="shared" si="17"/>
        <v>0.042645778938207098</v>
      </c>
      <c r="H13" s="2"/>
      <c r="I13" s="2"/>
      <c r="J13" s="2"/>
    </row>
    <row r="14" ht="15">
      <c r="A14" s="2" t="s">
        <v>136</v>
      </c>
      <c r="B14" s="2" t="s">
        <v>137</v>
      </c>
      <c r="C14" s="13">
        <v>127.3</v>
      </c>
      <c r="D14" s="13">
        <v>121.8</v>
      </c>
      <c r="E14" s="13">
        <v>118.3</v>
      </c>
      <c r="F14" s="14">
        <f t="shared" si="16"/>
        <v>0.030769230769230702</v>
      </c>
      <c r="G14" s="14">
        <f t="shared" si="17"/>
        <v>0.016694490818030001</v>
      </c>
      <c r="H14" s="2"/>
      <c r="I14" s="2"/>
      <c r="J14" s="2"/>
    </row>
    <row r="15" ht="15">
      <c r="A15" s="2" t="s">
        <v>138</v>
      </c>
      <c r="B15" s="2" t="s">
        <v>139</v>
      </c>
      <c r="C15" s="13">
        <v>130.90000000000001</v>
      </c>
      <c r="D15" s="13">
        <v>123.40000000000001</v>
      </c>
      <c r="E15" s="13">
        <v>121.5</v>
      </c>
      <c r="F15" s="14">
        <f t="shared" si="16"/>
        <v>0.028279654359780099</v>
      </c>
      <c r="G15" s="14">
        <f t="shared" si="17"/>
        <v>0.013136288998357899</v>
      </c>
      <c r="H15" s="2"/>
      <c r="I15" s="2"/>
      <c r="J15" s="2"/>
    </row>
    <row r="16" ht="1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ht="15">
      <c r="A17" s="2" t="s">
        <v>140</v>
      </c>
      <c r="B17" s="2"/>
      <c r="C17" s="2"/>
      <c r="D17" s="2"/>
      <c r="E17" s="2"/>
      <c r="F17" s="2"/>
      <c r="G17" s="2"/>
      <c r="H17" s="2"/>
      <c r="I17" s="2"/>
      <c r="J17" s="2"/>
    </row>
    <row r="18" ht="15">
      <c r="A18" s="2" t="s">
        <v>141</v>
      </c>
      <c r="B18" s="2"/>
      <c r="C18" s="2"/>
      <c r="D18" s="2"/>
      <c r="E18" s="2"/>
      <c r="F18" s="2"/>
      <c r="G18" s="2"/>
      <c r="H18" s="2"/>
      <c r="I18" s="2"/>
      <c r="J18" s="2"/>
    </row>
    <row r="19" ht="15">
      <c r="A19" s="2" t="s">
        <v>142</v>
      </c>
      <c r="B19" s="2"/>
      <c r="C19" s="2"/>
      <c r="D19" s="2"/>
      <c r="E19" s="2"/>
      <c r="F19" s="2"/>
      <c r="G19" s="2"/>
      <c r="H19" s="2"/>
      <c r="I19" s="2"/>
      <c r="J19" s="2"/>
    </row>
    <row r="20" ht="15">
      <c r="A20" s="2" t="s">
        <v>143</v>
      </c>
      <c r="B20" s="2"/>
      <c r="C20" s="2"/>
      <c r="D20" s="2"/>
      <c r="E20" s="2"/>
      <c r="F20" s="2"/>
      <c r="G20" s="2"/>
      <c r="H20" s="2"/>
      <c r="I20" s="2"/>
      <c r="J20" s="2"/>
    </row>
  </sheetData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xSplit="2" ySplit="1" topLeftCell="C2" activePane="bottomRight" state="frozen"/>
      <selection activeCell="A1" activeCellId="0" sqref="A1"/>
    </sheetView>
  </sheetViews>
  <sheetFormatPr defaultColWidth="8.6796875" defaultRowHeight="15"/>
  <cols>
    <col customWidth="1" min="1" max="1" style="0" width="42"/>
    <col customWidth="1" min="2" max="2" style="0" width="12"/>
    <col customWidth="1" min="3" max="14" style="0" width="11"/>
    <col customWidth="1" min="15" max="16" style="0" width="12"/>
    <col customWidth="1" min="17" max="17" style="0" width="10"/>
  </cols>
  <sheetData>
    <row r="1" ht="52.200000000000003">
      <c r="A1" s="11" t="s">
        <v>144</v>
      </c>
      <c r="B1" s="11" t="s">
        <v>145</v>
      </c>
      <c r="C1" s="11" t="s">
        <v>39</v>
      </c>
      <c r="D1" s="11" t="s">
        <v>40</v>
      </c>
      <c r="E1" s="11" t="s">
        <v>41</v>
      </c>
      <c r="F1" s="11" t="s">
        <v>42</v>
      </c>
      <c r="G1" s="11" t="s">
        <v>43</v>
      </c>
      <c r="H1" s="11" t="s">
        <v>44</v>
      </c>
      <c r="I1" s="11" t="s">
        <v>45</v>
      </c>
      <c r="J1" s="11" t="s">
        <v>46</v>
      </c>
      <c r="K1" s="11" t="s">
        <v>47</v>
      </c>
      <c r="L1" s="11" t="s">
        <v>48</v>
      </c>
      <c r="M1" s="11" t="s">
        <v>49</v>
      </c>
      <c r="N1" s="11" t="s">
        <v>146</v>
      </c>
      <c r="O1" s="11" t="s">
        <v>147</v>
      </c>
      <c r="P1" s="11" t="s">
        <v>148</v>
      </c>
      <c r="Q1" s="11" t="s">
        <v>149</v>
      </c>
    </row>
    <row r="2" ht="15">
      <c r="A2" s="2" t="s">
        <v>150</v>
      </c>
      <c r="B2" s="2" t="s">
        <v>72</v>
      </c>
      <c r="C2" s="2">
        <v>485.76999999999998</v>
      </c>
      <c r="D2" s="2">
        <v>504.88</v>
      </c>
      <c r="E2" s="2">
        <v>675.60000000000002</v>
      </c>
      <c r="F2" s="2">
        <v>872.50999999999999</v>
      </c>
      <c r="G2" s="2">
        <v>1027.3</v>
      </c>
      <c r="H2" s="2">
        <v>1147.8</v>
      </c>
      <c r="I2" s="2">
        <v>1144.02</v>
      </c>
      <c r="J2" s="2">
        <v>1163.29</v>
      </c>
      <c r="K2" s="2">
        <v>1145.5699999999999</v>
      </c>
      <c r="L2" s="2">
        <v>1436.4200000000001</v>
      </c>
      <c r="M2" s="2">
        <v>1619.6600000000001</v>
      </c>
      <c r="N2" s="14">
        <f t="shared" ref="N2:N9" si="18">(M2/C2)^(1/10)-1</f>
        <v>0.12797459073758599</v>
      </c>
      <c r="O2" s="14">
        <f>(1+N2)/(1+WPI!$J$5)-1</f>
        <v>0.094537854670831797</v>
      </c>
      <c r="P2" s="2" t="str">
        <f t="shared" ref="P2:P9" si="19">IF(O2&gt;0,"Yes","No")</f>
        <v>Yes</v>
      </c>
      <c r="Q2" s="14">
        <f t="shared" ref="Q2:Q9" si="20">M2/L2-1</f>
        <v>0.12756714609933001</v>
      </c>
    </row>
    <row r="3" ht="15">
      <c r="A3" s="2" t="s">
        <v>105</v>
      </c>
      <c r="B3" s="2" t="s">
        <v>71</v>
      </c>
      <c r="C3" s="2">
        <v>339.33999999999997</v>
      </c>
      <c r="D3" s="2">
        <v>170.5</v>
      </c>
      <c r="E3" s="2">
        <v>870.29999999999995</v>
      </c>
      <c r="F3" s="2">
        <v>960.52999999999997</v>
      </c>
      <c r="G3" s="2">
        <v>1383.9100000000001</v>
      </c>
      <c r="H3" s="2">
        <v>1335.71</v>
      </c>
      <c r="I3" s="2">
        <v>1538.8599999999999</v>
      </c>
      <c r="J3" s="2">
        <v>1688.5999999999999</v>
      </c>
      <c r="K3" s="2">
        <v>1893.1099999999999</v>
      </c>
      <c r="L3" s="2">
        <v>2097.6599999999999</v>
      </c>
      <c r="M3" s="2">
        <v>2427.2600000000002</v>
      </c>
      <c r="N3" s="14">
        <f t="shared" si="18"/>
        <v>0.21744156307891299</v>
      </c>
      <c r="O3" s="14">
        <f>(1+N3)/(1+WPI!$J$5)-1</f>
        <v>0.181352742855802</v>
      </c>
      <c r="P3" s="2" t="str">
        <f t="shared" si="19"/>
        <v>Yes</v>
      </c>
      <c r="Q3" s="14">
        <f t="shared" si="20"/>
        <v>0.157127465842892</v>
      </c>
    </row>
    <row r="4" ht="15">
      <c r="A4" s="2" t="s">
        <v>151</v>
      </c>
      <c r="B4" s="2" t="s">
        <v>70</v>
      </c>
      <c r="C4" s="2">
        <v>91.709999999999994</v>
      </c>
      <c r="D4" s="2">
        <v>138.44999999999999</v>
      </c>
      <c r="E4" s="2">
        <v>190.87</v>
      </c>
      <c r="F4" s="2">
        <v>265.29000000000002</v>
      </c>
      <c r="G4" s="2">
        <v>226.75999999999999</v>
      </c>
      <c r="H4" s="2">
        <v>232.03</v>
      </c>
      <c r="I4" s="2">
        <v>237.71000000000001</v>
      </c>
      <c r="J4" s="2">
        <v>221.25999999999999</v>
      </c>
      <c r="K4" s="2">
        <v>206.25</v>
      </c>
      <c r="L4" s="2">
        <v>144.52000000000001</v>
      </c>
      <c r="M4" s="2">
        <v>107.09</v>
      </c>
      <c r="N4" s="14">
        <f t="shared" si="18"/>
        <v>0.0156246254865504</v>
      </c>
      <c r="O4" s="14">
        <f>(1+N4)/(1+WPI!$J$5)-1</f>
        <v>-0.0144817021064179</v>
      </c>
      <c r="P4" s="2" t="str">
        <f t="shared" si="19"/>
        <v>No</v>
      </c>
      <c r="Q4" s="14">
        <f t="shared" si="20"/>
        <v>-0.25899529476888999</v>
      </c>
    </row>
    <row r="5" ht="15">
      <c r="A5" s="2" t="s">
        <v>152</v>
      </c>
      <c r="B5" s="2" t="s">
        <v>69</v>
      </c>
      <c r="C5" s="2">
        <v>27.620000000000001</v>
      </c>
      <c r="D5" s="2">
        <v>25.390000000000001</v>
      </c>
      <c r="E5" s="2">
        <v>36.439999999999998</v>
      </c>
      <c r="F5" s="2">
        <v>53.590000000000003</v>
      </c>
      <c r="G5" s="2">
        <v>58.170000000000002</v>
      </c>
      <c r="H5" s="2">
        <v>61.759999999999998</v>
      </c>
      <c r="I5" s="2">
        <v>64.5</v>
      </c>
      <c r="J5" s="2">
        <v>70.579999999999998</v>
      </c>
      <c r="K5" s="2">
        <v>65.120000000000005</v>
      </c>
      <c r="L5" s="2">
        <v>50.450000000000003</v>
      </c>
      <c r="M5" s="2">
        <v>69.599999999999994</v>
      </c>
      <c r="N5" s="14">
        <f t="shared" si="18"/>
        <v>0.096828070399603602</v>
      </c>
      <c r="O5" s="14">
        <f>(1+N5)/(1+WPI!$J$5)-1</f>
        <v>0.064314615751146095</v>
      </c>
      <c r="P5" s="2" t="str">
        <f t="shared" si="19"/>
        <v>Yes</v>
      </c>
      <c r="Q5" s="14">
        <f t="shared" si="20"/>
        <v>0.37958374628344899</v>
      </c>
    </row>
    <row r="6" ht="15">
      <c r="A6" s="2" t="s">
        <v>153</v>
      </c>
      <c r="B6" s="2" t="s">
        <v>70</v>
      </c>
      <c r="C6" s="2">
        <v>91.299999999999997</v>
      </c>
      <c r="D6" s="2">
        <v>97.530000000000001</v>
      </c>
      <c r="E6" s="2">
        <v>117.67</v>
      </c>
      <c r="F6" s="2">
        <v>185.83000000000001</v>
      </c>
      <c r="G6" s="2">
        <v>243.75</v>
      </c>
      <c r="H6" s="2">
        <v>281.62</v>
      </c>
      <c r="I6" s="2">
        <v>221.09</v>
      </c>
      <c r="J6" s="2">
        <v>188.87</v>
      </c>
      <c r="K6" s="2">
        <v>136.38</v>
      </c>
      <c r="L6" s="2">
        <v>168.09999999999999</v>
      </c>
      <c r="M6" s="2">
        <v>183.88</v>
      </c>
      <c r="N6" s="14">
        <f t="shared" si="18"/>
        <v>0.072522401019855701</v>
      </c>
      <c r="O6" s="14">
        <f>(1+N6)/(1+WPI!$J$5)-1</f>
        <v>0.040729443321107797</v>
      </c>
      <c r="P6" s="2" t="str">
        <f t="shared" si="19"/>
        <v>Yes</v>
      </c>
      <c r="Q6" s="14">
        <f t="shared" si="20"/>
        <v>0.093872694824509204</v>
      </c>
    </row>
    <row r="7" ht="15">
      <c r="A7" s="2" t="s">
        <v>154</v>
      </c>
      <c r="B7" s="2" t="s">
        <v>69</v>
      </c>
      <c r="C7" s="2">
        <v>31.530000000000001</v>
      </c>
      <c r="D7" s="2">
        <v>38.810000000000002</v>
      </c>
      <c r="E7" s="2">
        <v>55.100000000000001</v>
      </c>
      <c r="F7" s="2">
        <v>81.359999999999999</v>
      </c>
      <c r="G7" s="2">
        <v>95.230000000000004</v>
      </c>
      <c r="H7" s="2">
        <v>126.69</v>
      </c>
      <c r="I7" s="2">
        <v>133.22</v>
      </c>
      <c r="J7" s="2">
        <v>149.27000000000001</v>
      </c>
      <c r="K7" s="2">
        <v>150.69999999999999</v>
      </c>
      <c r="L7" s="2">
        <v>125.41</v>
      </c>
      <c r="M7" s="2">
        <v>149.83000000000001</v>
      </c>
      <c r="N7" s="14">
        <f t="shared" si="18"/>
        <v>0.16865811979317899</v>
      </c>
      <c r="O7" s="14">
        <f>(1+N7)/(1+WPI!$J$5)-1</f>
        <v>0.13401539519222699</v>
      </c>
      <c r="P7" s="2" t="str">
        <f t="shared" si="19"/>
        <v>Yes</v>
      </c>
      <c r="Q7" s="14">
        <f t="shared" si="20"/>
        <v>0.19472131408978599</v>
      </c>
    </row>
    <row r="8" ht="15">
      <c r="A8" s="2" t="s">
        <v>155</v>
      </c>
      <c r="B8" s="2" t="s">
        <v>70</v>
      </c>
      <c r="C8" s="2">
        <v>71.099999999999994</v>
      </c>
      <c r="D8" s="2">
        <v>72.390000000000001</v>
      </c>
      <c r="E8" s="2">
        <v>90.799999999999997</v>
      </c>
      <c r="F8" s="2">
        <v>103.40000000000001</v>
      </c>
      <c r="G8" s="2">
        <v>136.25</v>
      </c>
      <c r="H8" s="2">
        <v>155.69</v>
      </c>
      <c r="I8" s="2">
        <v>189.28999999999999</v>
      </c>
      <c r="J8" s="2">
        <v>280.23000000000002</v>
      </c>
      <c r="K8" s="2">
        <v>282.00999999999999</v>
      </c>
      <c r="L8" s="2">
        <v>304.57999999999998</v>
      </c>
      <c r="M8" s="2">
        <v>291.75999999999999</v>
      </c>
      <c r="N8" s="14">
        <f t="shared" si="18"/>
        <v>0.15163701441600699</v>
      </c>
      <c r="O8" s="14">
        <f>(1+N8)/(1+WPI!$J$5)-1</f>
        <v>0.117498849237523</v>
      </c>
      <c r="P8" s="2" t="str">
        <f t="shared" si="19"/>
        <v>Yes</v>
      </c>
      <c r="Q8" s="14">
        <f t="shared" si="20"/>
        <v>-0.042090747915161902</v>
      </c>
    </row>
    <row r="9" ht="15">
      <c r="A9" s="2" t="s">
        <v>156</v>
      </c>
      <c r="B9" s="2" t="s">
        <v>71</v>
      </c>
      <c r="C9" s="2">
        <v>385</v>
      </c>
      <c r="D9" s="2">
        <v>393.63</v>
      </c>
      <c r="E9" s="2">
        <v>541.55999999999995</v>
      </c>
      <c r="F9" s="2">
        <v>772.47000000000003</v>
      </c>
      <c r="G9" s="2">
        <v>1002.1</v>
      </c>
      <c r="H9" s="2">
        <v>1209.3699999999999</v>
      </c>
      <c r="I9" s="2">
        <v>1395.3399999999999</v>
      </c>
      <c r="J9" s="2">
        <v>1571.1099999999999</v>
      </c>
      <c r="K9" s="2">
        <v>1561.77</v>
      </c>
      <c r="L9" s="2">
        <v>1493.9400000000001</v>
      </c>
      <c r="M9" s="2">
        <v>1892.25</v>
      </c>
      <c r="N9" s="14">
        <f t="shared" si="18"/>
        <v>0.172605099228898</v>
      </c>
      <c r="O9" s="14">
        <f>(1+N9)/(1+WPI!$J$5)-1</f>
        <v>0.13784537366822799</v>
      </c>
      <c r="P9" s="2" t="str">
        <f t="shared" si="19"/>
        <v>Yes</v>
      </c>
      <c r="Q9" s="14">
        <f t="shared" si="20"/>
        <v>0.26661713321820102</v>
      </c>
    </row>
    <row r="10" ht="15">
      <c r="A10" s="2" t="s">
        <v>157</v>
      </c>
      <c r="B10" s="2" t="s">
        <v>71</v>
      </c>
      <c r="C10" s="2">
        <v>410.93000000000001</v>
      </c>
      <c r="D10" s="2">
        <v>570.95000000000005</v>
      </c>
      <c r="E10" s="2">
        <v>646.88</v>
      </c>
      <c r="F10" s="2">
        <v>789.27999999999997</v>
      </c>
      <c r="G10" s="2">
        <v>888.46000000000004</v>
      </c>
      <c r="H10" s="2">
        <v>929.65999999999997</v>
      </c>
      <c r="I10" s="2">
        <v>547.72000000000003</v>
      </c>
      <c r="J10" s="2">
        <v>610.41999999999996</v>
      </c>
      <c r="K10" s="2">
        <v>567.28999999999996</v>
      </c>
      <c r="L10" s="2">
        <v>685.5</v>
      </c>
      <c r="M10" s="2">
        <v>736.90999999999997</v>
      </c>
      <c r="N10" s="14">
        <f t="shared" ref="N10:N73" si="21">(M10/C10)^(1/10)-1</f>
        <v>0.060143512844312401</v>
      </c>
      <c r="O10" s="14">
        <f>(1+N10)/(1+WPI!$J$5)-1</f>
        <v>0.028717504561024801</v>
      </c>
      <c r="P10" s="2" t="str">
        <f t="shared" ref="P10:P73" si="22">IF(O10&gt;0,"Yes","No")</f>
        <v>Yes</v>
      </c>
      <c r="Q10" s="14">
        <f t="shared" ref="Q10:Q73" si="23">M10/L10-1</f>
        <v>0.074996353026987497</v>
      </c>
    </row>
    <row r="11" ht="15">
      <c r="A11" s="2" t="s">
        <v>93</v>
      </c>
      <c r="B11" s="2" t="s">
        <v>72</v>
      </c>
      <c r="C11" s="2">
        <v>992.98000000000002</v>
      </c>
      <c r="D11" s="2">
        <v>1668.78</v>
      </c>
      <c r="E11" s="2">
        <v>1973.52</v>
      </c>
      <c r="F11" s="2">
        <v>2335.29</v>
      </c>
      <c r="G11" s="2">
        <v>2700.1900000000001</v>
      </c>
      <c r="H11" s="2">
        <v>3174.29</v>
      </c>
      <c r="I11" s="2">
        <v>3897.0999999999999</v>
      </c>
      <c r="J11" s="2">
        <v>4603.04</v>
      </c>
      <c r="K11" s="2">
        <v>5196.6999999999998</v>
      </c>
      <c r="L11" s="2">
        <v>5759.8999999999996</v>
      </c>
      <c r="M11" s="2">
        <v>6719.3299999999999</v>
      </c>
      <c r="N11" s="14">
        <f t="shared" si="21"/>
        <v>0.21070558811916501</v>
      </c>
      <c r="O11" s="14">
        <f>(1+N11)/(1+WPI!$J$5)-1</f>
        <v>0.17481644350819101</v>
      </c>
      <c r="P11" s="2" t="str">
        <f t="shared" si="22"/>
        <v>Yes</v>
      </c>
      <c r="Q11" s="14">
        <f t="shared" si="23"/>
        <v>0.166570600184031</v>
      </c>
    </row>
    <row r="12" ht="15">
      <c r="A12" s="2" t="s">
        <v>158</v>
      </c>
      <c r="B12" s="2" t="s">
        <v>70</v>
      </c>
      <c r="C12" s="2">
        <v>91.719999999999999</v>
      </c>
      <c r="D12" s="2">
        <v>81.280000000000001</v>
      </c>
      <c r="E12" s="2">
        <v>51.299999999999997</v>
      </c>
      <c r="F12" s="2">
        <v>54.280000000000001</v>
      </c>
      <c r="G12" s="2">
        <v>51.670000000000002</v>
      </c>
      <c r="H12" s="2">
        <v>56.329999999999998</v>
      </c>
      <c r="I12" s="2">
        <v>54.590000000000003</v>
      </c>
      <c r="J12" s="2">
        <v>61.32</v>
      </c>
      <c r="K12" s="2">
        <v>60.990000000000002</v>
      </c>
      <c r="L12" s="2">
        <v>75.900000000000006</v>
      </c>
      <c r="M12" s="2">
        <v>84.730000000000004</v>
      </c>
      <c r="N12" s="14">
        <f t="shared" si="21"/>
        <v>-0.0078957363931232392</v>
      </c>
      <c r="O12" s="14">
        <f>(1+N12)/(1+WPI!$J$5)-1</f>
        <v>-0.037304846035595897</v>
      </c>
      <c r="P12" s="2" t="str">
        <f t="shared" si="22"/>
        <v>No</v>
      </c>
      <c r="Q12" s="14">
        <f t="shared" si="23"/>
        <v>0.116337285902503</v>
      </c>
    </row>
    <row r="13" ht="15">
      <c r="A13" s="2" t="s">
        <v>159</v>
      </c>
      <c r="B13" s="2" t="s">
        <v>70</v>
      </c>
      <c r="C13" s="2">
        <v>47.32</v>
      </c>
      <c r="D13" s="2">
        <v>56.420000000000002</v>
      </c>
      <c r="E13" s="2">
        <v>64.939999999999998</v>
      </c>
      <c r="F13" s="2">
        <v>75.549999999999997</v>
      </c>
      <c r="G13" s="2">
        <v>92.049999999999997</v>
      </c>
      <c r="H13" s="2">
        <v>105.25</v>
      </c>
      <c r="I13" s="2">
        <v>114.77</v>
      </c>
      <c r="J13" s="2">
        <v>124.06</v>
      </c>
      <c r="K13" s="2">
        <v>122.7</v>
      </c>
      <c r="L13" s="2">
        <v>169.75999999999999</v>
      </c>
      <c r="M13" s="2">
        <v>176.81999999999999</v>
      </c>
      <c r="N13" s="14">
        <f t="shared" si="21"/>
        <v>0.14090285004769901</v>
      </c>
      <c r="O13" s="14">
        <f>(1+N13)/(1+WPI!$J$5)-1</f>
        <v>0.107082879466706</v>
      </c>
      <c r="P13" s="2" t="str">
        <f t="shared" si="22"/>
        <v>Yes</v>
      </c>
      <c r="Q13" s="14">
        <f t="shared" si="23"/>
        <v>0.041588124410933097</v>
      </c>
    </row>
    <row r="14" ht="15">
      <c r="A14" s="2" t="s">
        <v>160</v>
      </c>
      <c r="B14" s="2" t="s">
        <v>70</v>
      </c>
      <c r="C14" s="2">
        <v>51.43</v>
      </c>
      <c r="D14" s="2">
        <v>78.230000000000004</v>
      </c>
      <c r="E14" s="2">
        <v>80.560000000000002</v>
      </c>
      <c r="F14" s="2">
        <v>119.97</v>
      </c>
      <c r="G14" s="2">
        <v>111.61</v>
      </c>
      <c r="H14" s="2">
        <v>166.69</v>
      </c>
      <c r="I14" s="2">
        <v>157.27000000000001</v>
      </c>
      <c r="J14" s="2">
        <v>239.59999999999999</v>
      </c>
      <c r="K14" s="2">
        <v>244.33000000000001</v>
      </c>
      <c r="L14" s="2">
        <v>314.47000000000003</v>
      </c>
      <c r="M14" s="2">
        <v>387.06</v>
      </c>
      <c r="N14" s="14">
        <f t="shared" si="21"/>
        <v>0.223647076106092</v>
      </c>
      <c r="O14" s="14">
        <f>(1+N14)/(1+WPI!$J$5)-1</f>
        <v>0.18737430484103901</v>
      </c>
      <c r="P14" s="2" t="str">
        <f t="shared" si="22"/>
        <v>Yes</v>
      </c>
      <c r="Q14" s="14">
        <f t="shared" si="23"/>
        <v>0.23083282984068401</v>
      </c>
    </row>
    <row r="15" ht="15">
      <c r="A15" s="2" t="s">
        <v>161</v>
      </c>
      <c r="B15" s="2" t="s">
        <v>70</v>
      </c>
      <c r="C15" s="2">
        <v>93.739999999999995</v>
      </c>
      <c r="D15" s="2">
        <v>107.75</v>
      </c>
      <c r="E15" s="2">
        <v>140.16</v>
      </c>
      <c r="F15" s="2">
        <v>141.09999999999999</v>
      </c>
      <c r="G15" s="2">
        <v>144.41</v>
      </c>
      <c r="H15" s="2">
        <v>170.62</v>
      </c>
      <c r="I15" s="2">
        <v>191.91999999999999</v>
      </c>
      <c r="J15" s="2">
        <v>213.84999999999999</v>
      </c>
      <c r="K15" s="2">
        <v>217.28</v>
      </c>
      <c r="L15" s="2">
        <v>250.22999999999999</v>
      </c>
      <c r="M15" s="2">
        <v>258.31999999999999</v>
      </c>
      <c r="N15" s="14">
        <f t="shared" si="21"/>
        <v>0.106683177299515</v>
      </c>
      <c r="O15" s="14">
        <f>(1+N15)/(1+WPI!$J$5)-1</f>
        <v>0.073877586098489503</v>
      </c>
      <c r="P15" s="2" t="str">
        <f t="shared" si="22"/>
        <v>Yes</v>
      </c>
      <c r="Q15" s="14">
        <f t="shared" si="23"/>
        <v>0.032330256164328802</v>
      </c>
    </row>
    <row r="16" ht="15">
      <c r="A16" s="2" t="s">
        <v>162</v>
      </c>
      <c r="B16" s="2" t="s">
        <v>69</v>
      </c>
      <c r="C16" s="2">
        <v>2.4199999999999999</v>
      </c>
      <c r="D16" s="2">
        <v>3.5</v>
      </c>
      <c r="E16" s="2">
        <v>4.9100000000000001</v>
      </c>
      <c r="F16" s="2">
        <v>4.1799999999999997</v>
      </c>
      <c r="G16" s="2">
        <v>6.6399999999999997</v>
      </c>
      <c r="H16" s="2">
        <v>6.9299999999999997</v>
      </c>
      <c r="I16" s="2">
        <v>6.4400000000000004</v>
      </c>
      <c r="J16" s="2">
        <v>5.3700000000000001</v>
      </c>
      <c r="K16" s="2">
        <v>6.1399999999999997</v>
      </c>
      <c r="L16" s="2">
        <v>9.4499999999999993</v>
      </c>
      <c r="M16" s="2">
        <v>7.8600000000000003</v>
      </c>
      <c r="N16" s="14">
        <f t="shared" si="21"/>
        <v>0.12502123004254201</v>
      </c>
      <c r="O16" s="14">
        <f>(1+N16)/(1+WPI!$J$5)-1</f>
        <v>0.091672040931969997</v>
      </c>
      <c r="P16" s="2" t="str">
        <f t="shared" si="22"/>
        <v>Yes</v>
      </c>
      <c r="Q16" s="14">
        <f t="shared" si="23"/>
        <v>-0.16825396825396799</v>
      </c>
    </row>
    <row r="17" ht="15">
      <c r="A17" s="2" t="s">
        <v>163</v>
      </c>
      <c r="B17" s="2" t="s">
        <v>71</v>
      </c>
      <c r="C17" s="2">
        <v>166.75</v>
      </c>
      <c r="D17" s="2">
        <v>180.94</v>
      </c>
      <c r="E17" s="2">
        <v>235.84</v>
      </c>
      <c r="F17" s="2">
        <v>258.87</v>
      </c>
      <c r="G17" s="2">
        <v>282.76999999999998</v>
      </c>
      <c r="H17" s="2">
        <v>298.10000000000002</v>
      </c>
      <c r="I17" s="2">
        <v>336.13</v>
      </c>
      <c r="J17" s="2">
        <v>214.16</v>
      </c>
      <c r="K17" s="2">
        <v>238.52000000000001</v>
      </c>
      <c r="L17" s="2">
        <v>316.13</v>
      </c>
      <c r="M17" s="2">
        <v>302.73000000000002</v>
      </c>
      <c r="N17" s="14">
        <f t="shared" si="21"/>
        <v>0.061448583537324603</v>
      </c>
      <c r="O17" s="14">
        <f>(1+N17)/(1+WPI!$J$5)-1</f>
        <v>0.029983888829122202</v>
      </c>
      <c r="P17" s="2" t="str">
        <f t="shared" si="22"/>
        <v>Yes</v>
      </c>
      <c r="Q17" s="14">
        <f t="shared" si="23"/>
        <v>-0.042387625344003997</v>
      </c>
    </row>
    <row r="18" ht="15">
      <c r="A18" s="2" t="s">
        <v>164</v>
      </c>
      <c r="B18" s="2" t="s">
        <v>72</v>
      </c>
      <c r="C18" s="2">
        <v>1051.98</v>
      </c>
      <c r="D18" s="2">
        <v>1314.8399999999999</v>
      </c>
      <c r="E18" s="2">
        <v>1510.7</v>
      </c>
      <c r="F18" s="2">
        <v>1903.52</v>
      </c>
      <c r="G18" s="2">
        <v>475.54000000000002</v>
      </c>
      <c r="H18" s="2">
        <v>164.61000000000001</v>
      </c>
      <c r="I18" s="2">
        <v>128.36000000000001</v>
      </c>
      <c r="J18" s="2">
        <v>112.23</v>
      </c>
      <c r="K18" s="2">
        <v>247.19</v>
      </c>
      <c r="L18" s="2">
        <v>476.56999999999999</v>
      </c>
      <c r="M18" s="2">
        <v>632.28999999999996</v>
      </c>
      <c r="N18" s="14">
        <f t="shared" si="21"/>
        <v>-0.049634016897853302</v>
      </c>
      <c r="O18" s="14">
        <f>(1+N18)/(1+WPI!$J$5)-1</f>
        <v>-0.077805871835675</v>
      </c>
      <c r="P18" s="2" t="str">
        <f t="shared" si="22"/>
        <v>No</v>
      </c>
      <c r="Q18" s="14">
        <f t="shared" si="23"/>
        <v>0.326751578991544</v>
      </c>
    </row>
    <row r="19" ht="15">
      <c r="A19" s="2" t="s">
        <v>165</v>
      </c>
      <c r="B19" s="2" t="s">
        <v>70</v>
      </c>
      <c r="C19" s="2">
        <v>34.990000000000002</v>
      </c>
      <c r="D19" s="2">
        <v>37.229999999999997</v>
      </c>
      <c r="E19" s="2">
        <v>42.990000000000002</v>
      </c>
      <c r="F19" s="2">
        <v>47.299999999999997</v>
      </c>
      <c r="G19" s="2">
        <v>51.539999999999999</v>
      </c>
      <c r="H19" s="2">
        <v>54.909999999999997</v>
      </c>
      <c r="I19" s="2">
        <v>57.789999999999999</v>
      </c>
      <c r="J19" s="2">
        <v>61.439999999999998</v>
      </c>
      <c r="K19" s="2">
        <v>65.469999999999999</v>
      </c>
      <c r="L19" s="2">
        <v>67.030000000000001</v>
      </c>
      <c r="M19" s="2">
        <v>69.560000000000002</v>
      </c>
      <c r="N19" s="14">
        <f t="shared" si="21"/>
        <v>0.071128470775712493</v>
      </c>
      <c r="O19" s="14">
        <f>(1+N19)/(1+WPI!$J$5)-1</f>
        <v>0.039376833580149199</v>
      </c>
      <c r="P19" s="2" t="str">
        <f t="shared" si="22"/>
        <v>Yes</v>
      </c>
      <c r="Q19" s="14">
        <f t="shared" si="23"/>
        <v>0.037744293599880602</v>
      </c>
    </row>
    <row r="20" ht="15">
      <c r="A20" s="2" t="s">
        <v>166</v>
      </c>
      <c r="B20" s="2" t="s">
        <v>71</v>
      </c>
      <c r="C20" s="2">
        <v>206.55000000000001</v>
      </c>
      <c r="D20" s="2">
        <v>216.65000000000001</v>
      </c>
      <c r="E20" s="2">
        <v>210.21000000000001</v>
      </c>
      <c r="F20" s="2">
        <v>217.63</v>
      </c>
      <c r="G20" s="2">
        <v>256.76999999999998</v>
      </c>
      <c r="H20" s="2">
        <v>209.28999999999999</v>
      </c>
      <c r="I20" s="2">
        <v>128.94</v>
      </c>
      <c r="J20" s="2">
        <v>122</v>
      </c>
      <c r="K20" s="2">
        <v>157.62</v>
      </c>
      <c r="L20" s="2">
        <v>230.71000000000001</v>
      </c>
      <c r="M20" s="2">
        <v>188.96000000000001</v>
      </c>
      <c r="N20" s="14">
        <f t="shared" si="21"/>
        <v>-0.0088612220276282905</v>
      </c>
      <c r="O20" s="14">
        <f>(1+N20)/(1+WPI!$J$5)-1</f>
        <v>-0.038241711620853103</v>
      </c>
      <c r="P20" s="2" t="str">
        <f t="shared" si="22"/>
        <v>No</v>
      </c>
      <c r="Q20" s="14">
        <f t="shared" si="23"/>
        <v>-0.18096311386589201</v>
      </c>
    </row>
    <row r="21" ht="15">
      <c r="A21" s="2" t="s">
        <v>167</v>
      </c>
      <c r="B21" s="2" t="s">
        <v>71</v>
      </c>
      <c r="C21" s="2">
        <v>116.34999999999999</v>
      </c>
      <c r="D21" s="2">
        <v>115.06999999999999</v>
      </c>
      <c r="E21" s="2">
        <v>116.77</v>
      </c>
      <c r="F21" s="2">
        <v>184.83000000000001</v>
      </c>
      <c r="G21" s="2">
        <v>201.88</v>
      </c>
      <c r="H21" s="2">
        <v>267.01999999999998</v>
      </c>
      <c r="I21" s="2">
        <v>221.90000000000001</v>
      </c>
      <c r="J21" s="2">
        <v>303.00999999999999</v>
      </c>
      <c r="K21" s="2">
        <v>359.80000000000001</v>
      </c>
      <c r="L21" s="2">
        <v>430.89999999999998</v>
      </c>
      <c r="M21" s="2">
        <v>522.22000000000003</v>
      </c>
      <c r="N21" s="14">
        <f t="shared" si="21"/>
        <v>0.16200691171138801</v>
      </c>
      <c r="O21" s="14">
        <f>(1+N21)/(1+WPI!$J$5)-1</f>
        <v>0.127561349964087</v>
      </c>
      <c r="P21" s="2" t="str">
        <f t="shared" si="22"/>
        <v>Yes</v>
      </c>
      <c r="Q21" s="14">
        <f t="shared" si="23"/>
        <v>0.21192852169876999</v>
      </c>
    </row>
    <row r="22" ht="15">
      <c r="A22" s="2" t="s">
        <v>168</v>
      </c>
      <c r="B22" s="2" t="s">
        <v>71</v>
      </c>
      <c r="C22" s="2">
        <v>254.41</v>
      </c>
      <c r="D22" s="2">
        <v>380.39999999999998</v>
      </c>
      <c r="E22" s="2">
        <v>341.69999999999999</v>
      </c>
      <c r="F22" s="2">
        <v>165.94</v>
      </c>
      <c r="G22" s="2">
        <v>212.71000000000001</v>
      </c>
      <c r="H22" s="2">
        <v>154.06999999999999</v>
      </c>
      <c r="I22" s="2">
        <v>120.95999999999999</v>
      </c>
      <c r="J22" s="2">
        <v>98.370000000000005</v>
      </c>
      <c r="K22" s="2">
        <v>87.379999999999995</v>
      </c>
      <c r="L22" s="2">
        <v>253.94999999999999</v>
      </c>
      <c r="M22" s="2">
        <v>302.74000000000001</v>
      </c>
      <c r="N22" s="14">
        <f t="shared" si="21"/>
        <v>0.017544855351504501</v>
      </c>
      <c r="O22" s="14">
        <f>(1+N22)/(1+WPI!$J$5)-1</f>
        <v>-0.012618393930754699</v>
      </c>
      <c r="P22" s="2" t="str">
        <f t="shared" si="22"/>
        <v>No</v>
      </c>
      <c r="Q22" s="14">
        <f t="shared" si="23"/>
        <v>0.19212443394369</v>
      </c>
    </row>
    <row r="23" ht="15">
      <c r="A23" s="2" t="s">
        <v>169</v>
      </c>
      <c r="B23" s="2" t="s">
        <v>69</v>
      </c>
      <c r="C23" s="2">
        <v>11.58</v>
      </c>
      <c r="D23" s="2">
        <v>21.260000000000002</v>
      </c>
      <c r="E23" s="2">
        <v>25.719999999999999</v>
      </c>
      <c r="F23" s="2">
        <v>46.719999999999999</v>
      </c>
      <c r="G23" s="2">
        <v>35.700000000000003</v>
      </c>
      <c r="H23" s="2">
        <v>33.829999999999998</v>
      </c>
      <c r="I23" s="2">
        <v>29.050000000000001</v>
      </c>
      <c r="J23" s="2">
        <v>35.859999999999999</v>
      </c>
      <c r="K23" s="2">
        <v>40.030000000000001</v>
      </c>
      <c r="L23" s="2">
        <v>45.549999999999997</v>
      </c>
      <c r="M23" s="2">
        <v>42.880000000000003</v>
      </c>
      <c r="N23" s="14">
        <f t="shared" si="21"/>
        <v>0.13986815756757601</v>
      </c>
      <c r="O23" s="14">
        <f>(1+N23)/(1+WPI!$J$5)-1</f>
        <v>0.10607885854572301</v>
      </c>
      <c r="P23" s="2" t="str">
        <f t="shared" si="22"/>
        <v>Yes</v>
      </c>
      <c r="Q23" s="14">
        <f t="shared" si="23"/>
        <v>-0.058616904500548697</v>
      </c>
    </row>
    <row r="24" ht="15">
      <c r="A24" s="2" t="s">
        <v>87</v>
      </c>
      <c r="B24" s="2" t="s">
        <v>72</v>
      </c>
      <c r="C24" s="2">
        <v>3130.1100000000001</v>
      </c>
      <c r="D24" s="2">
        <v>3937.1599999999999</v>
      </c>
      <c r="E24" s="2">
        <v>4214.4399999999996</v>
      </c>
      <c r="F24" s="2">
        <v>5394.2700000000004</v>
      </c>
      <c r="G24" s="2">
        <v>7092.0500000000002</v>
      </c>
      <c r="H24" s="2">
        <v>8144.3999999999996</v>
      </c>
      <c r="I24" s="2">
        <v>9070.7099999999991</v>
      </c>
      <c r="J24" s="2">
        <v>9532.1900000000005</v>
      </c>
      <c r="K24" s="2">
        <v>10038.219999999999</v>
      </c>
      <c r="L24" s="2">
        <v>11922.629999999999</v>
      </c>
      <c r="M24" s="2">
        <v>13021.940000000001</v>
      </c>
      <c r="N24" s="14">
        <f t="shared" si="21"/>
        <v>0.153218521888981</v>
      </c>
      <c r="O24" s="14">
        <f>(1+N24)/(1+WPI!$J$5)-1</f>
        <v>0.119033475824707</v>
      </c>
      <c r="P24" s="2" t="str">
        <f t="shared" si="22"/>
        <v>Yes</v>
      </c>
      <c r="Q24" s="14">
        <f t="shared" si="23"/>
        <v>0.0922036496980954</v>
      </c>
    </row>
    <row r="25" ht="15">
      <c r="A25" s="2" t="s">
        <v>170</v>
      </c>
      <c r="B25" s="2" t="s">
        <v>69</v>
      </c>
      <c r="C25" s="2">
        <v>31.609999999999999</v>
      </c>
      <c r="D25" s="2">
        <v>35.509999999999998</v>
      </c>
      <c r="E25" s="2">
        <v>38.939999999999998</v>
      </c>
      <c r="F25" s="2">
        <v>50.030000000000001</v>
      </c>
      <c r="G25" s="2">
        <v>66.670000000000002</v>
      </c>
      <c r="H25" s="2">
        <v>85.540000000000006</v>
      </c>
      <c r="I25" s="2">
        <v>101.09999999999999</v>
      </c>
      <c r="J25" s="2">
        <v>101.05</v>
      </c>
      <c r="K25" s="2">
        <v>110.84</v>
      </c>
      <c r="L25" s="2">
        <v>115.37</v>
      </c>
      <c r="M25" s="2">
        <v>129.40000000000001</v>
      </c>
      <c r="N25" s="14">
        <f t="shared" si="21"/>
        <v>0.15135957773183301</v>
      </c>
      <c r="O25" s="14">
        <f>(1+N25)/(1+WPI!$J$5)-1</f>
        <v>0.117229636654547</v>
      </c>
      <c r="P25" s="2" t="str">
        <f t="shared" si="22"/>
        <v>Yes</v>
      </c>
      <c r="Q25" s="14">
        <f t="shared" si="23"/>
        <v>0.1216087371067</v>
      </c>
    </row>
    <row r="26" ht="15">
      <c r="A26" s="2" t="s">
        <v>171</v>
      </c>
      <c r="B26" s="2" t="s">
        <v>70</v>
      </c>
      <c r="C26" s="2">
        <v>34.789999999999999</v>
      </c>
      <c r="D26" s="2">
        <v>36.5</v>
      </c>
      <c r="E26" s="2">
        <v>122.12</v>
      </c>
      <c r="F26" s="2">
        <v>154.75999999999999</v>
      </c>
      <c r="G26" s="2">
        <v>171.06</v>
      </c>
      <c r="H26" s="2">
        <v>102.25</v>
      </c>
      <c r="I26" s="2">
        <v>86.269999999999996</v>
      </c>
      <c r="J26" s="2">
        <v>28.600000000000001</v>
      </c>
      <c r="K26" s="2">
        <v>29.68</v>
      </c>
      <c r="L26" s="2">
        <v>43.359999999999999</v>
      </c>
      <c r="M26" s="2">
        <v>41.390000000000001</v>
      </c>
      <c r="N26" s="14">
        <f t="shared" si="21"/>
        <v>0.0175226837111013</v>
      </c>
      <c r="O26" s="14">
        <f>(1+N26)/(1+WPI!$J$5)-1</f>
        <v>-0.0126399083335796</v>
      </c>
      <c r="P26" s="2" t="str">
        <f t="shared" si="22"/>
        <v>No</v>
      </c>
      <c r="Q26" s="14">
        <f t="shared" si="23"/>
        <v>-0.045433579335793298</v>
      </c>
    </row>
    <row r="27" ht="15">
      <c r="A27" s="2" t="s">
        <v>172</v>
      </c>
      <c r="B27" s="2" t="s">
        <v>70</v>
      </c>
      <c r="C27" s="2">
        <v>106.53</v>
      </c>
      <c r="D27" s="2">
        <v>109.06999999999999</v>
      </c>
      <c r="E27" s="2">
        <v>131.93000000000001</v>
      </c>
      <c r="F27" s="2">
        <v>139.91</v>
      </c>
      <c r="G27" s="2">
        <v>168.38</v>
      </c>
      <c r="H27" s="2">
        <v>175.72999999999999</v>
      </c>
      <c r="I27" s="2">
        <v>183.62</v>
      </c>
      <c r="J27" s="2">
        <v>215.15000000000001</v>
      </c>
      <c r="K27" s="2">
        <v>206.27000000000001</v>
      </c>
      <c r="L27" s="2">
        <v>218.53</v>
      </c>
      <c r="M27" s="2">
        <v>166.69999999999999</v>
      </c>
      <c r="N27" s="14">
        <f t="shared" si="21"/>
        <v>0.045794533242738703</v>
      </c>
      <c r="O27" s="14">
        <f>(1+N27)/(1+WPI!$J$5)-1</f>
        <v>0.0147938741186475</v>
      </c>
      <c r="P27" s="2" t="str">
        <f t="shared" si="22"/>
        <v>Yes</v>
      </c>
      <c r="Q27" s="14">
        <f t="shared" si="23"/>
        <v>-0.23717567382052801</v>
      </c>
    </row>
    <row r="28" ht="15">
      <c r="A28" s="2" t="s">
        <v>173</v>
      </c>
      <c r="B28" s="2" t="s">
        <v>70</v>
      </c>
      <c r="C28" s="2">
        <v>60.640000000000001</v>
      </c>
      <c r="D28" s="2">
        <v>58.670000000000002</v>
      </c>
      <c r="E28" s="2">
        <v>47.810000000000002</v>
      </c>
      <c r="F28" s="2">
        <v>29.710000000000001</v>
      </c>
      <c r="G28" s="2">
        <v>19.039999999999999</v>
      </c>
      <c r="H28" s="2">
        <v>49.590000000000003</v>
      </c>
      <c r="I28" s="2">
        <v>96.230000000000004</v>
      </c>
      <c r="J28" s="2">
        <v>92.480000000000004</v>
      </c>
      <c r="K28" s="2">
        <v>78.829999999999998</v>
      </c>
      <c r="L28" s="2">
        <v>100.5</v>
      </c>
      <c r="M28" s="2">
        <v>70.280000000000001</v>
      </c>
      <c r="N28" s="14">
        <f t="shared" si="21"/>
        <v>0.014862618598501701</v>
      </c>
      <c r="O28" s="14">
        <f>(1+N28)/(1+WPI!$J$5)-1</f>
        <v>-0.0152211206991221</v>
      </c>
      <c r="P28" s="2" t="str">
        <f t="shared" si="22"/>
        <v>No</v>
      </c>
      <c r="Q28" s="14">
        <f t="shared" si="23"/>
        <v>-0.30069651741293502</v>
      </c>
    </row>
    <row r="29" ht="15">
      <c r="A29" s="2" t="s">
        <v>174</v>
      </c>
      <c r="B29" s="2" t="s">
        <v>69</v>
      </c>
      <c r="C29" s="2">
        <v>6.9900000000000002</v>
      </c>
      <c r="D29" s="2">
        <v>7.5599999999999996</v>
      </c>
      <c r="E29" s="2">
        <v>9.4399999999999995</v>
      </c>
      <c r="F29" s="2">
        <v>14.869999999999999</v>
      </c>
      <c r="G29" s="2">
        <v>14.91</v>
      </c>
      <c r="H29" s="2">
        <v>13.56</v>
      </c>
      <c r="I29" s="2">
        <v>13.52</v>
      </c>
      <c r="J29" s="2">
        <v>11.32</v>
      </c>
      <c r="K29" s="2">
        <v>14.92</v>
      </c>
      <c r="L29" s="2">
        <v>12.640000000000001</v>
      </c>
      <c r="M29" s="2">
        <v>12.57</v>
      </c>
      <c r="N29" s="14">
        <f t="shared" si="21"/>
        <v>0.0604392898234292</v>
      </c>
      <c r="O29" s="14">
        <f>(1+N29)/(1+WPI!$J$5)-1</f>
        <v>0.029004513774567399</v>
      </c>
      <c r="P29" s="2" t="str">
        <f t="shared" si="22"/>
        <v>Yes</v>
      </c>
      <c r="Q29" s="14">
        <f t="shared" si="23"/>
        <v>-0.0055379746835443298</v>
      </c>
    </row>
    <row r="30" ht="15">
      <c r="A30" s="2" t="s">
        <v>175</v>
      </c>
      <c r="B30" s="2" t="s">
        <v>71</v>
      </c>
      <c r="C30" s="2">
        <v>145.27000000000001</v>
      </c>
      <c r="D30" s="2">
        <v>223.84999999999999</v>
      </c>
      <c r="E30" s="2">
        <v>278.19</v>
      </c>
      <c r="F30" s="2">
        <v>297.00999999999999</v>
      </c>
      <c r="G30" s="2">
        <v>267.06</v>
      </c>
      <c r="H30" s="2">
        <v>304.75999999999999</v>
      </c>
      <c r="I30" s="2">
        <v>408.06</v>
      </c>
      <c r="J30" s="2">
        <v>512.23000000000002</v>
      </c>
      <c r="K30" s="2">
        <v>689.24000000000001</v>
      </c>
      <c r="L30" s="2">
        <v>749.62</v>
      </c>
      <c r="M30" s="2">
        <v>1027.1900000000001</v>
      </c>
      <c r="N30" s="14">
        <f t="shared" si="21"/>
        <v>0.216038946958829</v>
      </c>
      <c r="O30" s="14">
        <f>(1+N30)/(1+WPI!$J$5)-1</f>
        <v>0.17999170471574899</v>
      </c>
      <c r="P30" s="2" t="str">
        <f t="shared" si="22"/>
        <v>Yes</v>
      </c>
      <c r="Q30" s="14">
        <f t="shared" si="23"/>
        <v>0.37028094234412101</v>
      </c>
    </row>
    <row r="31" ht="15">
      <c r="A31" s="2" t="s">
        <v>176</v>
      </c>
      <c r="B31" s="2" t="s">
        <v>71</v>
      </c>
      <c r="C31" s="2">
        <v>159.38</v>
      </c>
      <c r="D31" s="2">
        <v>174.37</v>
      </c>
      <c r="E31" s="2">
        <v>224.08000000000001</v>
      </c>
      <c r="F31" s="2">
        <v>305.62</v>
      </c>
      <c r="G31" s="2">
        <v>310.06</v>
      </c>
      <c r="H31" s="2">
        <v>428.98000000000002</v>
      </c>
      <c r="I31" s="2">
        <v>483.18000000000001</v>
      </c>
      <c r="J31" s="2">
        <v>552.04999999999995</v>
      </c>
      <c r="K31" s="2">
        <v>611.07000000000005</v>
      </c>
      <c r="L31" s="2">
        <v>656.58000000000004</v>
      </c>
      <c r="M31" s="2">
        <v>636.65999999999997</v>
      </c>
      <c r="N31" s="14">
        <f t="shared" si="21"/>
        <v>0.14854330405260199</v>
      </c>
      <c r="O31" s="14">
        <f>(1+N31)/(1+WPI!$J$5)-1</f>
        <v>0.11449684623857199</v>
      </c>
      <c r="P31" s="2" t="str">
        <f t="shared" si="22"/>
        <v>Yes</v>
      </c>
      <c r="Q31" s="14">
        <f t="shared" si="23"/>
        <v>-0.0303390295165861</v>
      </c>
    </row>
    <row r="32" ht="15">
      <c r="A32" s="2" t="s">
        <v>177</v>
      </c>
      <c r="B32" s="2" t="s">
        <v>72</v>
      </c>
      <c r="C32" s="2">
        <v>1051.4200000000001</v>
      </c>
      <c r="D32" s="2">
        <v>1213.2</v>
      </c>
      <c r="E32" s="2">
        <v>1363.9000000000001</v>
      </c>
      <c r="F32" s="2">
        <v>1666.2</v>
      </c>
      <c r="G32" s="2">
        <v>1919.9000000000001</v>
      </c>
      <c r="H32" s="2">
        <v>1917.5999999999999</v>
      </c>
      <c r="I32" s="2">
        <v>1986.0999999999999</v>
      </c>
      <c r="J32" s="2">
        <v>2217.4000000000001</v>
      </c>
      <c r="K32" s="2">
        <v>2052.9000000000001</v>
      </c>
      <c r="L32" s="2">
        <v>1679.7</v>
      </c>
      <c r="M32" s="2">
        <v>1809.5</v>
      </c>
      <c r="N32" s="14">
        <f t="shared" si="21"/>
        <v>0.055791680167195198</v>
      </c>
      <c r="O32" s="14">
        <f>(1+N32)/(1+WPI!$J$5)-1</f>
        <v>0.024494673974758199</v>
      </c>
      <c r="P32" s="2" t="str">
        <f t="shared" si="22"/>
        <v>Yes</v>
      </c>
      <c r="Q32" s="14">
        <f t="shared" si="23"/>
        <v>0.0772757039947609</v>
      </c>
    </row>
    <row r="33" ht="15">
      <c r="A33" s="2" t="s">
        <v>178</v>
      </c>
      <c r="B33" s="2" t="s">
        <v>69</v>
      </c>
      <c r="C33" s="2">
        <v>0.47999999999999998</v>
      </c>
      <c r="D33" s="2">
        <v>0.20999999999999999</v>
      </c>
      <c r="E33" s="2">
        <v>1.8600000000000001</v>
      </c>
      <c r="F33" s="2">
        <v>1.8600000000000001</v>
      </c>
      <c r="G33" s="2">
        <v>1.71</v>
      </c>
      <c r="H33" s="2">
        <v>1.6299999999999999</v>
      </c>
      <c r="I33" s="2">
        <v>1.51</v>
      </c>
      <c r="J33" s="2">
        <v>1.3999999999999999</v>
      </c>
      <c r="K33" s="2">
        <v>1.8300000000000001</v>
      </c>
      <c r="L33" s="2">
        <v>2.0299999999999998</v>
      </c>
      <c r="M33" s="2">
        <v>5.3300000000000001</v>
      </c>
      <c r="N33" s="14">
        <f t="shared" si="21"/>
        <v>0.27218009793931303</v>
      </c>
      <c r="O33" s="14">
        <f>(1+N33)/(1+WPI!$J$5)-1</f>
        <v>0.234468654336351</v>
      </c>
      <c r="P33" s="2" t="str">
        <f t="shared" si="22"/>
        <v>Yes</v>
      </c>
      <c r="Q33" s="14">
        <f t="shared" si="23"/>
        <v>1.6256157635468</v>
      </c>
    </row>
    <row r="34" ht="15">
      <c r="A34" s="2" t="s">
        <v>179</v>
      </c>
      <c r="B34" s="2" t="s">
        <v>71</v>
      </c>
      <c r="C34" s="2">
        <v>165.46000000000001</v>
      </c>
      <c r="D34" s="2">
        <v>218.41</v>
      </c>
      <c r="E34" s="2">
        <v>265.11000000000001</v>
      </c>
      <c r="F34" s="2">
        <v>348.70999999999998</v>
      </c>
      <c r="G34" s="2">
        <v>284.68000000000001</v>
      </c>
      <c r="H34" s="2">
        <v>311.26999999999998</v>
      </c>
      <c r="I34" s="2">
        <v>320.81</v>
      </c>
      <c r="J34" s="2">
        <v>325.30000000000001</v>
      </c>
      <c r="K34" s="2">
        <v>288.98000000000002</v>
      </c>
      <c r="L34" s="2">
        <v>414.49000000000001</v>
      </c>
      <c r="M34" s="2">
        <v>434.11000000000001</v>
      </c>
      <c r="N34" s="14">
        <f t="shared" si="21"/>
        <v>0.101262058947613</v>
      </c>
      <c r="O34" s="14">
        <f>(1+N34)/(1+WPI!$J$5)-1</f>
        <v>0.068617166848329303</v>
      </c>
      <c r="P34" s="2" t="str">
        <f t="shared" si="22"/>
        <v>Yes</v>
      </c>
      <c r="Q34" s="14">
        <f t="shared" si="23"/>
        <v>0.047335279500108497</v>
      </c>
    </row>
    <row r="35" ht="15">
      <c r="A35" s="2" t="s">
        <v>180</v>
      </c>
      <c r="B35" s="2" t="s">
        <v>70</v>
      </c>
      <c r="C35" s="2">
        <v>45.100000000000001</v>
      </c>
      <c r="D35" s="2">
        <v>52.539999999999999</v>
      </c>
      <c r="E35" s="2">
        <v>56.079999999999998</v>
      </c>
      <c r="F35" s="2">
        <v>80.109999999999999</v>
      </c>
      <c r="G35" s="2">
        <v>85.269999999999996</v>
      </c>
      <c r="H35" s="2">
        <v>85.209999999999994</v>
      </c>
      <c r="I35" s="2">
        <v>80.010000000000005</v>
      </c>
      <c r="J35" s="2">
        <v>64.840000000000003</v>
      </c>
      <c r="K35" s="2">
        <v>56.899999999999999</v>
      </c>
      <c r="L35" s="2">
        <v>55.030000000000001</v>
      </c>
      <c r="M35" s="2">
        <v>69.379999999999995</v>
      </c>
      <c r="N35" s="14">
        <f t="shared" si="21"/>
        <v>0.044012684721795203</v>
      </c>
      <c r="O35" s="14">
        <f>(1+N35)/(1+WPI!$J$5)-1</f>
        <v>0.013064845226084899</v>
      </c>
      <c r="P35" s="2" t="str">
        <f t="shared" si="22"/>
        <v>Yes</v>
      </c>
      <c r="Q35" s="14">
        <f t="shared" si="23"/>
        <v>0.26076685444303099</v>
      </c>
    </row>
    <row r="36" ht="15">
      <c r="A36" s="2" t="s">
        <v>181</v>
      </c>
      <c r="B36" s="2" t="s">
        <v>72</v>
      </c>
      <c r="C36" s="2">
        <v>668.72000000000003</v>
      </c>
      <c r="D36" s="2">
        <v>793.52999999999997</v>
      </c>
      <c r="E36" s="2">
        <v>933.62</v>
      </c>
      <c r="F36" s="2">
        <v>1105.0899999999999</v>
      </c>
      <c r="G36" s="2">
        <v>1260.1300000000001</v>
      </c>
      <c r="H36" s="2">
        <v>1378.47</v>
      </c>
      <c r="I36" s="2">
        <v>1465.6600000000001</v>
      </c>
      <c r="J36" s="2">
        <v>1595.28</v>
      </c>
      <c r="K36" s="2">
        <v>1333.51</v>
      </c>
      <c r="L36" s="2">
        <v>1418.28</v>
      </c>
      <c r="M36" s="2">
        <v>1623.9000000000001</v>
      </c>
      <c r="N36" s="14">
        <f t="shared" si="21"/>
        <v>0.092776877332768903</v>
      </c>
      <c r="O36" s="14">
        <f>(1+N36)/(1+WPI!$J$5)-1</f>
        <v>0.060383512865812998</v>
      </c>
      <c r="P36" s="2" t="str">
        <f t="shared" si="22"/>
        <v>Yes</v>
      </c>
      <c r="Q36" s="14">
        <f t="shared" si="23"/>
        <v>0.144978424570607</v>
      </c>
    </row>
    <row r="37" ht="15">
      <c r="A37" s="2" t="s">
        <v>182</v>
      </c>
      <c r="B37" s="2" t="s">
        <v>69</v>
      </c>
      <c r="C37" s="2">
        <v>26.079999999999998</v>
      </c>
      <c r="D37" s="2">
        <v>31.030000000000001</v>
      </c>
      <c r="E37" s="2">
        <v>45.630000000000003</v>
      </c>
      <c r="F37" s="2">
        <v>48.810000000000002</v>
      </c>
      <c r="G37" s="2">
        <v>38.469999999999999</v>
      </c>
      <c r="H37" s="2">
        <v>82.219999999999999</v>
      </c>
      <c r="I37" s="2">
        <v>94.239999999999995</v>
      </c>
      <c r="J37" s="2">
        <v>153.37</v>
      </c>
      <c r="K37" s="2">
        <v>412.27999999999997</v>
      </c>
      <c r="L37" s="2">
        <v>509.16000000000003</v>
      </c>
      <c r="M37" s="2">
        <v>510.44999999999999</v>
      </c>
      <c r="N37" s="14">
        <f t="shared" si="21"/>
        <v>0.34637042174961502</v>
      </c>
      <c r="O37" s="14">
        <f>(1+N37)/(1+WPI!$J$5)-1</f>
        <v>0.306459742191941</v>
      </c>
      <c r="P37" s="2" t="str">
        <f t="shared" si="22"/>
        <v>Yes</v>
      </c>
      <c r="Q37" s="14">
        <f t="shared" si="23"/>
        <v>0.0025335847277869802</v>
      </c>
    </row>
    <row r="38" ht="15">
      <c r="A38" s="2" t="s">
        <v>183</v>
      </c>
      <c r="B38" s="2" t="s">
        <v>70</v>
      </c>
      <c r="C38" s="2">
        <v>52.32</v>
      </c>
      <c r="D38" s="2">
        <v>102.51000000000001</v>
      </c>
      <c r="E38" s="2">
        <v>125.40000000000001</v>
      </c>
      <c r="F38" s="2">
        <v>49.259999999999998</v>
      </c>
      <c r="G38" s="2">
        <v>40.640000000000001</v>
      </c>
      <c r="H38" s="2">
        <v>59.229999999999997</v>
      </c>
      <c r="I38" s="2">
        <v>83.659999999999997</v>
      </c>
      <c r="J38" s="2">
        <v>103.34</v>
      </c>
      <c r="K38" s="2">
        <v>136.21000000000001</v>
      </c>
      <c r="L38" s="2">
        <v>178.53999999999999</v>
      </c>
      <c r="M38" s="2">
        <v>187.03999999999999</v>
      </c>
      <c r="N38" s="14">
        <f t="shared" si="21"/>
        <v>0.13586489078486899</v>
      </c>
      <c r="O38" s="14">
        <f>(1+N38)/(1+WPI!$J$5)-1</f>
        <v>0.10219426125780499</v>
      </c>
      <c r="P38" s="2" t="str">
        <f t="shared" si="22"/>
        <v>Yes</v>
      </c>
      <c r="Q38" s="14">
        <f t="shared" si="23"/>
        <v>0.047608379074717003</v>
      </c>
    </row>
    <row r="39" ht="15">
      <c r="A39" s="2" t="s">
        <v>88</v>
      </c>
      <c r="B39" s="2" t="s">
        <v>72</v>
      </c>
      <c r="C39" s="2">
        <v>5411.6800000000003</v>
      </c>
      <c r="D39" s="2">
        <v>5303.9499999999998</v>
      </c>
      <c r="E39" s="2">
        <v>6073.2299999999996</v>
      </c>
      <c r="F39" s="2">
        <v>7090.6899999999996</v>
      </c>
      <c r="G39" s="2">
        <v>8153.9399999999996</v>
      </c>
      <c r="H39" s="2">
        <v>8494.0499999999993</v>
      </c>
      <c r="I39" s="2">
        <v>10455.280000000001</v>
      </c>
      <c r="J39" s="2">
        <v>9025.6599999999999</v>
      </c>
      <c r="K39" s="2">
        <v>11004.440000000001</v>
      </c>
      <c r="L39" s="2">
        <v>11968.440000000001</v>
      </c>
      <c r="M39" s="2">
        <v>12220.219999999999</v>
      </c>
      <c r="N39" s="14">
        <f t="shared" si="21"/>
        <v>0.084862485641510596</v>
      </c>
      <c r="O39" s="14">
        <f>(1+N39)/(1+WPI!$J$5)-1</f>
        <v>0.0527037287874235</v>
      </c>
      <c r="P39" s="2" t="str">
        <f t="shared" si="22"/>
        <v>Yes</v>
      </c>
      <c r="Q39" s="14">
        <f t="shared" si="23"/>
        <v>0.021036993960783502</v>
      </c>
    </row>
    <row r="40" ht="15">
      <c r="A40" s="2" t="s">
        <v>184</v>
      </c>
      <c r="B40" s="2" t="s">
        <v>69</v>
      </c>
      <c r="C40" s="2">
        <v>4.8700000000000001</v>
      </c>
      <c r="D40" s="2">
        <v>5.3899999999999997</v>
      </c>
      <c r="E40" s="2">
        <v>6.2699999999999996</v>
      </c>
      <c r="F40" s="2">
        <v>7.6799999999999997</v>
      </c>
      <c r="G40" s="2">
        <v>7.7999999999999998</v>
      </c>
      <c r="H40" s="2">
        <v>8.2100000000000009</v>
      </c>
      <c r="I40" s="2">
        <v>8.4000000000000004</v>
      </c>
      <c r="J40" s="2">
        <v>8.0500000000000007</v>
      </c>
      <c r="K40" s="2">
        <v>7.96</v>
      </c>
      <c r="L40" s="2">
        <v>7.6699999999999999</v>
      </c>
      <c r="M40" s="2">
        <v>7.5999999999999996</v>
      </c>
      <c r="N40" s="14">
        <f t="shared" si="21"/>
        <v>0.045510654884082</v>
      </c>
      <c r="O40" s="14">
        <f>(1+N40)/(1+WPI!$J$5)-1</f>
        <v>0.0145184108128045</v>
      </c>
      <c r="P40" s="2" t="str">
        <f t="shared" si="22"/>
        <v>Yes</v>
      </c>
      <c r="Q40" s="14">
        <f t="shared" si="23"/>
        <v>-0.0091264667535854195</v>
      </c>
    </row>
    <row r="41" ht="15">
      <c r="A41" s="2" t="s">
        <v>185</v>
      </c>
      <c r="B41" s="2" t="s">
        <v>70</v>
      </c>
      <c r="C41" s="2">
        <v>65.230000000000004</v>
      </c>
      <c r="D41" s="2">
        <v>108.09999999999999</v>
      </c>
      <c r="E41" s="2">
        <v>121.92</v>
      </c>
      <c r="F41" s="2">
        <v>132.00999999999999</v>
      </c>
      <c r="G41" s="2">
        <v>102.65000000000001</v>
      </c>
      <c r="H41" s="2">
        <v>102.65000000000001</v>
      </c>
      <c r="I41" s="2">
        <v>177.12</v>
      </c>
      <c r="J41" s="2">
        <v>128.91</v>
      </c>
      <c r="K41" s="2">
        <v>136.90000000000001</v>
      </c>
      <c r="L41" s="2">
        <v>156.19999999999999</v>
      </c>
      <c r="M41" s="2">
        <v>148.65000000000001</v>
      </c>
      <c r="N41" s="14">
        <f t="shared" si="21"/>
        <v>0.085854795057393601</v>
      </c>
      <c r="O41" s="14">
        <f>(1+N41)/(1+WPI!$J$5)-1</f>
        <v>0.053666623012301497</v>
      </c>
      <c r="P41" s="2" t="str">
        <f t="shared" si="22"/>
        <v>Yes</v>
      </c>
      <c r="Q41" s="14">
        <f t="shared" si="23"/>
        <v>-0.0483354673495517</v>
      </c>
    </row>
    <row r="42" ht="15">
      <c r="A42" s="2" t="s">
        <v>186</v>
      </c>
      <c r="B42" s="2" t="s">
        <v>70</v>
      </c>
      <c r="C42" s="2">
        <v>106.31999999999999</v>
      </c>
      <c r="D42" s="2">
        <v>111.19</v>
      </c>
      <c r="E42" s="2">
        <v>132.94</v>
      </c>
      <c r="F42" s="2">
        <v>168.12</v>
      </c>
      <c r="G42" s="2">
        <v>206.34999999999999</v>
      </c>
      <c r="H42" s="2">
        <v>239.94999999999999</v>
      </c>
      <c r="I42" s="2">
        <v>286.80000000000001</v>
      </c>
      <c r="J42" s="2">
        <v>331.19</v>
      </c>
      <c r="K42" s="2">
        <v>332.27999999999997</v>
      </c>
      <c r="L42" s="2">
        <v>418.83999999999997</v>
      </c>
      <c r="M42" s="2">
        <v>482.97000000000003</v>
      </c>
      <c r="N42" s="14">
        <f t="shared" si="21"/>
        <v>0.16340390909712299</v>
      </c>
      <c r="O42" s="14">
        <f>(1+N42)/(1+WPI!$J$5)-1</f>
        <v>0.12891693592685599</v>
      </c>
      <c r="P42" s="2" t="str">
        <f t="shared" si="22"/>
        <v>Yes</v>
      </c>
      <c r="Q42" s="14">
        <f t="shared" si="23"/>
        <v>0.153113360710534</v>
      </c>
    </row>
    <row r="43" ht="15">
      <c r="A43" s="2" t="s">
        <v>187</v>
      </c>
      <c r="B43" s="2" t="s">
        <v>69</v>
      </c>
      <c r="C43" s="2">
        <v>9.7400000000000002</v>
      </c>
      <c r="D43" s="2">
        <v>24.129999999999999</v>
      </c>
      <c r="E43" s="2">
        <v>27.670000000000002</v>
      </c>
      <c r="F43" s="2">
        <v>28.07</v>
      </c>
      <c r="G43" s="2">
        <v>33.950000000000003</v>
      </c>
      <c r="H43" s="2">
        <v>40.020000000000003</v>
      </c>
      <c r="I43" s="2">
        <v>50.68</v>
      </c>
      <c r="J43" s="2">
        <v>57.490000000000002</v>
      </c>
      <c r="K43" s="2">
        <v>51.799999999999997</v>
      </c>
      <c r="L43" s="2">
        <v>48.079999999999998</v>
      </c>
      <c r="M43" s="2">
        <v>51.340000000000003</v>
      </c>
      <c r="N43" s="14">
        <f t="shared" si="21"/>
        <v>0.18083628762175</v>
      </c>
      <c r="O43" s="14">
        <f>(1+N43)/(1+WPI!$J$5)-1</f>
        <v>0.145832563591552</v>
      </c>
      <c r="P43" s="2" t="str">
        <f t="shared" si="22"/>
        <v>Yes</v>
      </c>
      <c r="Q43" s="14">
        <f t="shared" si="23"/>
        <v>0.067803660565723997</v>
      </c>
    </row>
    <row r="44" ht="15">
      <c r="A44" s="2" t="s">
        <v>188</v>
      </c>
      <c r="B44" s="2" t="s">
        <v>69</v>
      </c>
      <c r="C44" s="2">
        <v>33.829999999999998</v>
      </c>
      <c r="D44" s="2">
        <v>31.84</v>
      </c>
      <c r="E44" s="2">
        <v>39.590000000000003</v>
      </c>
      <c r="F44" s="2">
        <v>41.590000000000003</v>
      </c>
      <c r="G44" s="2">
        <v>50.170000000000002</v>
      </c>
      <c r="H44" s="2">
        <v>58.359999999999999</v>
      </c>
      <c r="I44" s="2">
        <v>74.299999999999997</v>
      </c>
      <c r="J44" s="2">
        <v>91.120000000000005</v>
      </c>
      <c r="K44" s="2">
        <v>89.870000000000005</v>
      </c>
      <c r="L44" s="2">
        <v>88.299999999999997</v>
      </c>
      <c r="M44" s="2">
        <v>68.25</v>
      </c>
      <c r="N44" s="14">
        <f t="shared" si="21"/>
        <v>0.072704409348847102</v>
      </c>
      <c r="O44" s="14">
        <f>(1+N44)/(1+WPI!$J$5)-1</f>
        <v>0.040906056347307401</v>
      </c>
      <c r="P44" s="2" t="str">
        <f t="shared" si="22"/>
        <v>Yes</v>
      </c>
      <c r="Q44" s="14">
        <f t="shared" si="23"/>
        <v>-0.22706681766704401</v>
      </c>
    </row>
    <row r="45" ht="15">
      <c r="A45" s="2" t="s">
        <v>189</v>
      </c>
      <c r="B45" s="2" t="s">
        <v>70</v>
      </c>
      <c r="C45" s="2">
        <v>39.32</v>
      </c>
      <c r="D45" s="2">
        <v>76.569999999999993</v>
      </c>
      <c r="E45" s="2">
        <v>104.31999999999999</v>
      </c>
      <c r="F45" s="2">
        <v>134.28999999999999</v>
      </c>
      <c r="G45" s="2">
        <v>122.34999999999999</v>
      </c>
      <c r="H45" s="2">
        <v>142.69999999999999</v>
      </c>
      <c r="I45" s="2">
        <v>97.209999999999994</v>
      </c>
      <c r="J45" s="2">
        <v>75.700000000000003</v>
      </c>
      <c r="K45" s="2">
        <v>113.90000000000001</v>
      </c>
      <c r="L45" s="2">
        <v>142.08000000000001</v>
      </c>
      <c r="M45" s="2">
        <v>202.44</v>
      </c>
      <c r="N45" s="14">
        <f t="shared" si="21"/>
        <v>0.178062364826233</v>
      </c>
      <c r="O45" s="14">
        <f>(1+N45)/(1+WPI!$J$5)-1</f>
        <v>0.14314086864508799</v>
      </c>
      <c r="P45" s="2" t="str">
        <f t="shared" si="22"/>
        <v>Yes</v>
      </c>
      <c r="Q45" s="14">
        <f t="shared" si="23"/>
        <v>0.42483108108108097</v>
      </c>
    </row>
    <row r="46" ht="15">
      <c r="A46" s="2" t="s">
        <v>190</v>
      </c>
      <c r="B46" s="2" t="s">
        <v>70</v>
      </c>
      <c r="C46" s="2">
        <v>82.430000000000007</v>
      </c>
      <c r="D46" s="2">
        <v>92.840000000000003</v>
      </c>
      <c r="E46" s="2">
        <v>81.040000000000006</v>
      </c>
      <c r="F46" s="2">
        <v>132.72</v>
      </c>
      <c r="G46" s="2">
        <v>190.00999999999999</v>
      </c>
      <c r="H46" s="2">
        <v>233.19999999999999</v>
      </c>
      <c r="I46" s="2">
        <v>256.5</v>
      </c>
      <c r="J46" s="2">
        <v>185.03</v>
      </c>
      <c r="K46" s="2">
        <v>73.739999999999995</v>
      </c>
      <c r="L46" s="2">
        <v>158.38</v>
      </c>
      <c r="M46" s="2">
        <v>187.5</v>
      </c>
      <c r="N46" s="14">
        <f t="shared" si="21"/>
        <v>0.085654400963572894</v>
      </c>
      <c r="O46" s="14">
        <f>(1+N46)/(1+WPI!$J$5)-1</f>
        <v>0.053472169233519398</v>
      </c>
      <c r="P46" s="2" t="str">
        <f t="shared" si="22"/>
        <v>Yes</v>
      </c>
      <c r="Q46" s="14">
        <f t="shared" si="23"/>
        <v>0.18386159868670299</v>
      </c>
    </row>
    <row r="47" ht="15">
      <c r="A47" s="2" t="s">
        <v>191</v>
      </c>
      <c r="B47" s="2" t="s">
        <v>69</v>
      </c>
      <c r="C47" s="2">
        <v>10.91</v>
      </c>
      <c r="D47" s="2">
        <v>13.869999999999999</v>
      </c>
      <c r="E47" s="2">
        <v>14.630000000000001</v>
      </c>
      <c r="F47" s="2">
        <v>20.309999999999999</v>
      </c>
      <c r="G47" s="2">
        <v>21.989999999999998</v>
      </c>
      <c r="H47" s="2">
        <v>21.030000000000001</v>
      </c>
      <c r="I47" s="2">
        <v>22.510000000000002</v>
      </c>
      <c r="J47" s="2">
        <v>18.27</v>
      </c>
      <c r="K47" s="2">
        <v>16</v>
      </c>
      <c r="L47" s="2">
        <v>20.66</v>
      </c>
      <c r="M47" s="2">
        <v>19.350000000000001</v>
      </c>
      <c r="N47" s="14">
        <f t="shared" si="21"/>
        <v>0.058974791169141602</v>
      </c>
      <c r="O47" s="14">
        <f>(1+N47)/(1+WPI!$J$5)-1</f>
        <v>0.027583427494437499</v>
      </c>
      <c r="P47" s="2" t="str">
        <f t="shared" si="22"/>
        <v>Yes</v>
      </c>
      <c r="Q47" s="14">
        <f t="shared" si="23"/>
        <v>-0.063407550822846007</v>
      </c>
    </row>
    <row r="48" ht="15">
      <c r="A48" s="2" t="s">
        <v>97</v>
      </c>
      <c r="B48" s="2" t="s">
        <v>72</v>
      </c>
      <c r="C48" s="2">
        <v>935.01999999999998</v>
      </c>
      <c r="D48" s="2">
        <v>1319.49</v>
      </c>
      <c r="E48" s="2">
        <v>1847.3499999999999</v>
      </c>
      <c r="F48" s="2">
        <v>2117.5500000000002</v>
      </c>
      <c r="G48" s="2">
        <v>2518.73</v>
      </c>
      <c r="H48" s="2">
        <v>3091.9099999999999</v>
      </c>
      <c r="I48" s="2">
        <v>3735.2399999999998</v>
      </c>
      <c r="J48" s="2">
        <v>4052.5700000000002</v>
      </c>
      <c r="K48" s="2">
        <v>3722.1999999999998</v>
      </c>
      <c r="L48" s="2">
        <v>4727.8400000000001</v>
      </c>
      <c r="M48" s="2">
        <v>5198.3100000000004</v>
      </c>
      <c r="N48" s="14">
        <f t="shared" si="21"/>
        <v>0.18714598339163499</v>
      </c>
      <c r="O48" s="14">
        <f>(1+N48)/(1+WPI!$J$5)-1</f>
        <v>0.151955220013342</v>
      </c>
      <c r="P48" s="2" t="str">
        <f t="shared" si="22"/>
        <v>Yes</v>
      </c>
      <c r="Q48" s="14">
        <f t="shared" si="23"/>
        <v>0.099510558732952101</v>
      </c>
    </row>
    <row r="49" ht="15">
      <c r="A49" s="2" t="s">
        <v>90</v>
      </c>
      <c r="B49" s="2" t="s">
        <v>72</v>
      </c>
      <c r="C49" s="2">
        <v>4248.1000000000004</v>
      </c>
      <c r="D49" s="2">
        <v>5031.1000000000004</v>
      </c>
      <c r="E49" s="2">
        <v>6644.3000000000002</v>
      </c>
      <c r="F49" s="2">
        <v>8146.1999999999998</v>
      </c>
      <c r="G49" s="2">
        <v>9577.7000000000007</v>
      </c>
      <c r="H49" s="2">
        <v>9970.2999999999993</v>
      </c>
      <c r="I49" s="2">
        <v>10006</v>
      </c>
      <c r="J49" s="2">
        <v>9586.7999999999993</v>
      </c>
      <c r="K49" s="2">
        <v>9246.7999999999993</v>
      </c>
      <c r="L49" s="2">
        <v>10466.700000000001</v>
      </c>
      <c r="M49" s="2">
        <v>10992.5</v>
      </c>
      <c r="N49" s="14">
        <f t="shared" si="21"/>
        <v>0.099740386627288097</v>
      </c>
      <c r="O49" s="14">
        <f>(1+N49)/(1+WPI!$J$5)-1</f>
        <v>0.067140601710535805</v>
      </c>
      <c r="P49" s="2" t="str">
        <f t="shared" si="22"/>
        <v>Yes</v>
      </c>
      <c r="Q49" s="14">
        <f t="shared" si="23"/>
        <v>0.050235508804111997</v>
      </c>
    </row>
    <row r="50" ht="15">
      <c r="A50" s="2" t="s">
        <v>192</v>
      </c>
      <c r="B50" s="2" t="s">
        <v>70</v>
      </c>
      <c r="C50" s="2">
        <v>114.69</v>
      </c>
      <c r="D50" s="2">
        <v>122.53</v>
      </c>
      <c r="E50" s="2">
        <v>132.56</v>
      </c>
      <c r="F50" s="2">
        <v>124.13</v>
      </c>
      <c r="G50" s="2">
        <v>134.46000000000001</v>
      </c>
      <c r="H50" s="2">
        <v>146.50999999999999</v>
      </c>
      <c r="I50" s="2">
        <v>157.63999999999999</v>
      </c>
      <c r="J50" s="2">
        <v>147.37</v>
      </c>
      <c r="K50" s="2">
        <v>152.56999999999999</v>
      </c>
      <c r="L50" s="2">
        <v>161</v>
      </c>
      <c r="M50" s="2">
        <v>158.19999999999999</v>
      </c>
      <c r="N50" s="14">
        <f t="shared" si="21"/>
        <v>0.0326855321813928</v>
      </c>
      <c r="O50" s="14">
        <f>(1+N50)/(1+WPI!$J$5)-1</f>
        <v>0.0020734653289595801</v>
      </c>
      <c r="P50" s="2" t="str">
        <f t="shared" si="22"/>
        <v>Yes</v>
      </c>
      <c r="Q50" s="14">
        <f t="shared" si="23"/>
        <v>-0.017391304347826202</v>
      </c>
    </row>
    <row r="51" ht="15">
      <c r="A51" s="2" t="s">
        <v>193</v>
      </c>
      <c r="B51" s="2" t="s">
        <v>72</v>
      </c>
      <c r="C51" s="2">
        <v>765.96000000000004</v>
      </c>
      <c r="D51" s="2">
        <v>934.94000000000005</v>
      </c>
      <c r="E51" s="2">
        <v>1050.1400000000001</v>
      </c>
      <c r="F51" s="2">
        <v>1077.73</v>
      </c>
      <c r="G51" s="2">
        <v>1320.47</v>
      </c>
      <c r="H51" s="2">
        <v>1645.51</v>
      </c>
      <c r="I51" s="2">
        <v>1705.03</v>
      </c>
      <c r="J51" s="2">
        <v>2052.8499999999999</v>
      </c>
      <c r="K51" s="2">
        <v>2206.8800000000001</v>
      </c>
      <c r="L51" s="2">
        <v>2404.3899999999999</v>
      </c>
      <c r="M51" s="2">
        <v>2332.6399999999999</v>
      </c>
      <c r="N51" s="14">
        <f t="shared" si="21"/>
        <v>0.117800148082346</v>
      </c>
      <c r="O51" s="14">
        <f>(1+N51)/(1+WPI!$J$5)-1</f>
        <v>0.084665014690406701</v>
      </c>
      <c r="P51" s="2" t="str">
        <f t="shared" si="22"/>
        <v>Yes</v>
      </c>
      <c r="Q51" s="14">
        <f t="shared" si="23"/>
        <v>-0.029841248715890601</v>
      </c>
    </row>
    <row r="52" ht="15">
      <c r="A52" s="2" t="s">
        <v>194</v>
      </c>
      <c r="B52" s="2" t="s">
        <v>69</v>
      </c>
      <c r="C52" s="2">
        <v>12.43</v>
      </c>
      <c r="D52" s="2">
        <v>15.449999999999999</v>
      </c>
      <c r="E52" s="2">
        <v>16.670000000000002</v>
      </c>
      <c r="F52" s="2">
        <v>20.780000000000001</v>
      </c>
      <c r="G52" s="2">
        <v>30.359999999999999</v>
      </c>
      <c r="H52" s="2">
        <v>38.950000000000003</v>
      </c>
      <c r="I52" s="2">
        <v>36.590000000000003</v>
      </c>
      <c r="J52" s="2">
        <v>35.009999999999998</v>
      </c>
      <c r="K52" s="2">
        <v>36.25</v>
      </c>
      <c r="L52" s="2">
        <v>36.289999999999999</v>
      </c>
      <c r="M52" s="2">
        <v>43.490000000000002</v>
      </c>
      <c r="N52" s="14">
        <f t="shared" si="21"/>
        <v>0.13342249521574401</v>
      </c>
      <c r="O52" s="14">
        <f>(1+N52)/(1+WPI!$J$5)-1</f>
        <v>0.0998242660217072</v>
      </c>
      <c r="P52" s="2" t="str">
        <f t="shared" si="22"/>
        <v>Yes</v>
      </c>
      <c r="Q52" s="14">
        <f t="shared" si="23"/>
        <v>0.19840176357123199</v>
      </c>
    </row>
    <row r="53" ht="15">
      <c r="A53" s="2" t="s">
        <v>195</v>
      </c>
      <c r="B53" s="2" t="s">
        <v>72</v>
      </c>
      <c r="C53" s="2">
        <v>630.32000000000005</v>
      </c>
      <c r="D53" s="2">
        <v>707.10000000000002</v>
      </c>
      <c r="E53" s="2">
        <v>708.54999999999995</v>
      </c>
      <c r="F53" s="2">
        <v>776.53999999999996</v>
      </c>
      <c r="G53" s="2">
        <v>847.59000000000003</v>
      </c>
      <c r="H53" s="2">
        <v>892.73000000000002</v>
      </c>
      <c r="I53" s="2">
        <v>1003.05</v>
      </c>
      <c r="J53" s="2">
        <v>1038.8900000000001</v>
      </c>
      <c r="K53" s="2">
        <v>1058.55</v>
      </c>
      <c r="L53" s="2">
        <v>1067.6800000000001</v>
      </c>
      <c r="M53" s="2">
        <v>1322.6400000000001</v>
      </c>
      <c r="N53" s="14">
        <f t="shared" si="21"/>
        <v>0.076931441392161404</v>
      </c>
      <c r="O53" s="14">
        <f>(1+N53)/(1+WPI!$J$5)-1</f>
        <v>0.045007785785457798</v>
      </c>
      <c r="P53" s="2" t="str">
        <f t="shared" si="22"/>
        <v>Yes</v>
      </c>
      <c r="Q53" s="14">
        <f t="shared" si="23"/>
        <v>0.23879814176532299</v>
      </c>
    </row>
    <row r="54" ht="15">
      <c r="A54" s="2" t="s">
        <v>196</v>
      </c>
      <c r="B54" s="2" t="s">
        <v>71</v>
      </c>
      <c r="C54" s="2">
        <v>215.25999999999999</v>
      </c>
      <c r="D54" s="2">
        <v>207.33000000000001</v>
      </c>
      <c r="E54" s="2">
        <v>216.11000000000001</v>
      </c>
      <c r="F54" s="2">
        <v>228.30000000000001</v>
      </c>
      <c r="G54" s="2">
        <v>269.83999999999997</v>
      </c>
      <c r="H54" s="2">
        <v>264.51999999999998</v>
      </c>
      <c r="I54" s="2">
        <v>289.73000000000002</v>
      </c>
      <c r="J54" s="2">
        <v>200.84</v>
      </c>
      <c r="K54" s="2">
        <v>241.94999999999999</v>
      </c>
      <c r="L54" s="2">
        <v>257.82999999999998</v>
      </c>
      <c r="M54" s="2">
        <v>208.97</v>
      </c>
      <c r="N54" s="14">
        <f t="shared" si="21"/>
        <v>-0.00296119686643614</v>
      </c>
      <c r="O54" s="14">
        <f>(1+N54)/(1+WPI!$J$5)-1</f>
        <v>-0.032516581874612698</v>
      </c>
      <c r="P54" s="2" t="str">
        <f t="shared" si="22"/>
        <v>No</v>
      </c>
      <c r="Q54" s="14">
        <f t="shared" si="23"/>
        <v>-0.18950471240739999</v>
      </c>
    </row>
    <row r="55" ht="15">
      <c r="A55" s="2" t="s">
        <v>197</v>
      </c>
      <c r="B55" s="2" t="s">
        <v>69</v>
      </c>
      <c r="C55" s="2">
        <v>3.6499999999999999</v>
      </c>
      <c r="D55" s="2">
        <v>6.3600000000000003</v>
      </c>
      <c r="E55" s="2">
        <v>10.390000000000001</v>
      </c>
      <c r="F55" s="2">
        <v>13.99</v>
      </c>
      <c r="G55" s="2">
        <v>19.530000000000001</v>
      </c>
      <c r="H55" s="2">
        <v>22.829999999999998</v>
      </c>
      <c r="I55" s="2">
        <v>40.310000000000002</v>
      </c>
      <c r="J55" s="2">
        <v>53.609999999999999</v>
      </c>
      <c r="K55" s="2">
        <v>58.07</v>
      </c>
      <c r="L55" s="2">
        <v>95.409999999999997</v>
      </c>
      <c r="M55" s="2">
        <v>110.3</v>
      </c>
      <c r="N55" s="14">
        <f t="shared" si="21"/>
        <v>0.406139035638095</v>
      </c>
      <c r="O55" s="14">
        <f>(1+N55)/(1+WPI!$J$5)-1</f>
        <v>0.364456625241734</v>
      </c>
      <c r="P55" s="2" t="str">
        <f t="shared" si="22"/>
        <v>Yes</v>
      </c>
      <c r="Q55" s="14">
        <f t="shared" si="23"/>
        <v>0.156063305733152</v>
      </c>
    </row>
    <row r="56" ht="15">
      <c r="A56" s="2" t="s">
        <v>198</v>
      </c>
      <c r="B56" s="2" t="s">
        <v>69</v>
      </c>
      <c r="C56" s="2">
        <v>15.449999999999999</v>
      </c>
      <c r="D56" s="2">
        <v>19.780000000000001</v>
      </c>
      <c r="E56" s="2">
        <v>25.18</v>
      </c>
      <c r="F56" s="2">
        <v>30.920000000000002</v>
      </c>
      <c r="G56" s="2">
        <v>36.079999999999998</v>
      </c>
      <c r="H56" s="2">
        <v>33.329999999999998</v>
      </c>
      <c r="I56" s="2">
        <v>40.310000000000002</v>
      </c>
      <c r="J56" s="2">
        <v>43.310000000000002</v>
      </c>
      <c r="K56" s="2">
        <v>47.18</v>
      </c>
      <c r="L56" s="2">
        <v>59.93</v>
      </c>
      <c r="M56" s="2">
        <v>59.93</v>
      </c>
      <c r="N56" s="14">
        <f t="shared" si="21"/>
        <v>0.145174264061637</v>
      </c>
      <c r="O56" s="14">
        <f>(1+N56)/(1+WPI!$J$5)-1</f>
        <v>0.11122767525343499</v>
      </c>
      <c r="P56" s="2" t="str">
        <f t="shared" si="22"/>
        <v>Yes</v>
      </c>
      <c r="Q56" s="14">
        <f t="shared" si="23"/>
        <v>0</v>
      </c>
    </row>
    <row r="57" ht="15">
      <c r="A57" s="2" t="s">
        <v>199</v>
      </c>
      <c r="B57" s="2" t="s">
        <v>70</v>
      </c>
      <c r="C57" s="2">
        <v>57.530000000000001</v>
      </c>
      <c r="D57" s="2">
        <v>69.359999999999999</v>
      </c>
      <c r="E57" s="2">
        <v>54.039999999999999</v>
      </c>
      <c r="F57" s="2">
        <v>79.530000000000001</v>
      </c>
      <c r="G57" s="2">
        <v>66.090000000000003</v>
      </c>
      <c r="H57" s="2">
        <v>76.870000000000005</v>
      </c>
      <c r="I57" s="2">
        <v>107.75</v>
      </c>
      <c r="J57" s="2">
        <v>151.78999999999999</v>
      </c>
      <c r="K57" s="2">
        <v>166.12</v>
      </c>
      <c r="L57" s="2">
        <v>176.91999999999999</v>
      </c>
      <c r="M57" s="2">
        <v>203.19</v>
      </c>
      <c r="N57" s="14">
        <f t="shared" si="21"/>
        <v>0.13449032260222399</v>
      </c>
      <c r="O57" s="14">
        <f>(1+N57)/(1+WPI!$J$5)-1</f>
        <v>0.100860439625576</v>
      </c>
      <c r="P57" s="2" t="str">
        <f t="shared" si="22"/>
        <v>Yes</v>
      </c>
      <c r="Q57" s="14">
        <f t="shared" si="23"/>
        <v>0.148485191046801</v>
      </c>
    </row>
    <row r="58" ht="15">
      <c r="A58" s="2" t="s">
        <v>200</v>
      </c>
      <c r="B58" s="2" t="s">
        <v>70</v>
      </c>
      <c r="C58" s="2">
        <v>89.030000000000001</v>
      </c>
      <c r="D58" s="2">
        <v>120.23</v>
      </c>
      <c r="E58" s="2">
        <v>141.68000000000001</v>
      </c>
      <c r="F58" s="2">
        <v>152.78</v>
      </c>
      <c r="G58" s="2">
        <v>136.50999999999999</v>
      </c>
      <c r="H58" s="2">
        <v>146.47</v>
      </c>
      <c r="I58" s="2">
        <v>159.16</v>
      </c>
      <c r="J58" s="2">
        <v>154.13</v>
      </c>
      <c r="K58" s="2">
        <v>147.62</v>
      </c>
      <c r="L58" s="2">
        <v>157.87</v>
      </c>
      <c r="M58" s="2">
        <v>191.30000000000001</v>
      </c>
      <c r="N58" s="14">
        <f t="shared" si="21"/>
        <v>0.079488101291224994</v>
      </c>
      <c r="O58" s="14">
        <f>(1+N58)/(1+WPI!$J$5)-1</f>
        <v>0.047488658195193698</v>
      </c>
      <c r="P58" s="2" t="str">
        <f t="shared" si="22"/>
        <v>Yes</v>
      </c>
      <c r="Q58" s="14">
        <f t="shared" si="23"/>
        <v>0.21175650851966801</v>
      </c>
    </row>
    <row r="59" ht="15">
      <c r="A59" s="2" t="s">
        <v>201</v>
      </c>
      <c r="B59" s="2" t="s">
        <v>71</v>
      </c>
      <c r="C59" s="2">
        <v>207.15000000000001</v>
      </c>
      <c r="D59" s="2">
        <v>457.89999999999998</v>
      </c>
      <c r="E59" s="2">
        <v>526.66999999999996</v>
      </c>
      <c r="F59" s="2">
        <v>644.99000000000001</v>
      </c>
      <c r="G59" s="2">
        <v>799.20000000000005</v>
      </c>
      <c r="H59" s="2">
        <v>847.89999999999998</v>
      </c>
      <c r="I59" s="2">
        <v>1141.03</v>
      </c>
      <c r="J59" s="2">
        <v>1021.33</v>
      </c>
      <c r="K59" s="2">
        <v>1420.6400000000001</v>
      </c>
      <c r="L59" s="2">
        <v>1781.29</v>
      </c>
      <c r="M59" s="2">
        <v>2321.96</v>
      </c>
      <c r="N59" s="14">
        <f t="shared" si="21"/>
        <v>0.27337693652168199</v>
      </c>
      <c r="O59" s="14">
        <f>(1+N59)/(1+WPI!$J$5)-1</f>
        <v>0.23563001483603799</v>
      </c>
      <c r="P59" s="2" t="str">
        <f t="shared" si="22"/>
        <v>Yes</v>
      </c>
      <c r="Q59" s="14">
        <f t="shared" si="23"/>
        <v>0.30352721903788799</v>
      </c>
    </row>
    <row r="60" ht="15">
      <c r="A60" s="2" t="s">
        <v>101</v>
      </c>
      <c r="B60" s="2" t="s">
        <v>72</v>
      </c>
      <c r="C60" s="2">
        <v>1572.6300000000001</v>
      </c>
      <c r="D60" s="2">
        <v>1767.49</v>
      </c>
      <c r="E60" s="2">
        <v>1930.6500000000001</v>
      </c>
      <c r="F60" s="2">
        <v>2669.9699999999998</v>
      </c>
      <c r="G60" s="2">
        <v>2593.3899999999999</v>
      </c>
      <c r="H60" s="2">
        <v>3358.54</v>
      </c>
      <c r="I60" s="2">
        <v>2753.02</v>
      </c>
      <c r="J60" s="2">
        <v>2920.79</v>
      </c>
      <c r="K60" s="2">
        <v>2820.0300000000002</v>
      </c>
      <c r="L60" s="2">
        <v>3089.48</v>
      </c>
      <c r="M60" s="2">
        <v>3187.3499999999999</v>
      </c>
      <c r="N60" s="14">
        <f t="shared" si="21"/>
        <v>0.073199149787556206</v>
      </c>
      <c r="O60" s="14">
        <f>(1+N60)/(1+WPI!$J$5)-1</f>
        <v>0.041386131113928998</v>
      </c>
      <c r="P60" s="2" t="str">
        <f t="shared" si="22"/>
        <v>Yes</v>
      </c>
      <c r="Q60" s="14">
        <f t="shared" si="23"/>
        <v>0.031678470163263799</v>
      </c>
    </row>
    <row r="61" ht="15">
      <c r="A61" s="2" t="s">
        <v>94</v>
      </c>
      <c r="B61" s="2" t="s">
        <v>72</v>
      </c>
      <c r="C61" s="2">
        <v>1028.1600000000001</v>
      </c>
      <c r="D61" s="2">
        <v>1156.02</v>
      </c>
      <c r="E61" s="2">
        <v>1547.3099999999999</v>
      </c>
      <c r="F61" s="2">
        <v>1956.8099999999999</v>
      </c>
      <c r="G61" s="2">
        <v>2326.3099999999999</v>
      </c>
      <c r="H61" s="2">
        <v>5134.4200000000001</v>
      </c>
      <c r="I61" s="2">
        <v>5727</v>
      </c>
      <c r="J61" s="2">
        <v>7637.5699999999997</v>
      </c>
      <c r="K61" s="2">
        <v>5189.4200000000001</v>
      </c>
      <c r="L61" s="2">
        <v>6072.3500000000004</v>
      </c>
      <c r="M61" s="2">
        <v>6413.1400000000003</v>
      </c>
      <c r="N61" s="14">
        <f t="shared" si="21"/>
        <v>0.20088384281515101</v>
      </c>
      <c r="O61" s="14">
        <f>(1+N61)/(1+WPI!$J$5)-1</f>
        <v>0.16528584581347799</v>
      </c>
      <c r="P61" s="2" t="str">
        <f t="shared" si="22"/>
        <v>Yes</v>
      </c>
      <c r="Q61" s="14">
        <f t="shared" si="23"/>
        <v>0.056121600368885097</v>
      </c>
    </row>
    <row r="62" ht="15">
      <c r="A62" s="2" t="s">
        <v>202</v>
      </c>
      <c r="B62" s="2" t="s">
        <v>69</v>
      </c>
      <c r="C62" s="2">
        <v>14.06</v>
      </c>
      <c r="D62" s="2">
        <v>22.780000000000001</v>
      </c>
      <c r="E62" s="2">
        <v>28.09</v>
      </c>
      <c r="F62" s="2">
        <v>33.780000000000001</v>
      </c>
      <c r="G62" s="2">
        <v>27.960000000000001</v>
      </c>
      <c r="H62" s="2">
        <v>31.02</v>
      </c>
      <c r="I62" s="2">
        <v>30.789999999999999</v>
      </c>
      <c r="J62" s="2">
        <v>61.060000000000002</v>
      </c>
      <c r="K62" s="2">
        <v>41.240000000000002</v>
      </c>
      <c r="L62" s="2">
        <v>46.130000000000003</v>
      </c>
      <c r="M62" s="2">
        <v>29.469999999999999</v>
      </c>
      <c r="N62" s="14">
        <f t="shared" si="21"/>
        <v>0.076810995399179599</v>
      </c>
      <c r="O62" s="14">
        <f>(1+N62)/(1+WPI!$J$5)-1</f>
        <v>0.044890910192829703</v>
      </c>
      <c r="P62" s="2" t="str">
        <f t="shared" si="22"/>
        <v>Yes</v>
      </c>
      <c r="Q62" s="14">
        <f t="shared" si="23"/>
        <v>-0.36115326251896801</v>
      </c>
    </row>
    <row r="63" ht="15">
      <c r="A63" s="2" t="s">
        <v>203</v>
      </c>
      <c r="B63" s="2" t="s">
        <v>69</v>
      </c>
      <c r="C63" s="2">
        <v>0.40999999999999998</v>
      </c>
      <c r="D63" s="2">
        <v>1.3200000000000001</v>
      </c>
      <c r="E63" s="2">
        <v>0.80000000000000004</v>
      </c>
      <c r="F63" s="2">
        <v>1.72</v>
      </c>
      <c r="G63" s="2">
        <v>1.3799999999999999</v>
      </c>
      <c r="H63" s="2">
        <v>56.439999999999998</v>
      </c>
      <c r="I63" s="2">
        <v>78.469999999999999</v>
      </c>
      <c r="J63" s="2">
        <v>82.370000000000005</v>
      </c>
      <c r="K63" s="2">
        <v>64.069999999999993</v>
      </c>
      <c r="L63" s="2">
        <v>83.540000000000006</v>
      </c>
      <c r="M63" s="2">
        <v>95.700000000000003</v>
      </c>
      <c r="N63" s="14">
        <f t="shared" si="21"/>
        <v>0.72509417254735897</v>
      </c>
      <c r="O63" s="14">
        <f>(1+N63)/(1+WPI!$J$5)-1</f>
        <v>0.67395692263817097</v>
      </c>
      <c r="P63" s="2" t="str">
        <f t="shared" si="22"/>
        <v>Yes</v>
      </c>
      <c r="Q63" s="14">
        <f t="shared" si="23"/>
        <v>0.145559013646158</v>
      </c>
    </row>
    <row r="64" ht="15">
      <c r="A64" s="2" t="s">
        <v>204</v>
      </c>
      <c r="B64" s="2" t="s">
        <v>69</v>
      </c>
      <c r="C64" s="2">
        <v>5.8099999999999996</v>
      </c>
      <c r="D64" s="2">
        <v>6.9199999999999999</v>
      </c>
      <c r="E64" s="2">
        <v>7.9500000000000002</v>
      </c>
      <c r="F64" s="2">
        <v>11.27</v>
      </c>
      <c r="G64" s="2">
        <v>17.640000000000001</v>
      </c>
      <c r="H64" s="2">
        <v>10.48</v>
      </c>
      <c r="I64" s="2">
        <v>12.16</v>
      </c>
      <c r="J64" s="2">
        <v>9.0800000000000001</v>
      </c>
      <c r="K64" s="2">
        <v>9.6899999999999995</v>
      </c>
      <c r="L64" s="2">
        <v>15.23</v>
      </c>
      <c r="M64" s="2">
        <v>28.16</v>
      </c>
      <c r="N64" s="14">
        <f t="shared" si="21"/>
        <v>0.17096968487345199</v>
      </c>
      <c r="O64" s="14">
        <f>(1+N64)/(1+WPI!$J$5)-1</f>
        <v>0.13625843816914299</v>
      </c>
      <c r="P64" s="2" t="str">
        <f t="shared" si="22"/>
        <v>Yes</v>
      </c>
      <c r="Q64" s="14">
        <f t="shared" si="23"/>
        <v>0.848982271831911</v>
      </c>
    </row>
    <row r="65" ht="15">
      <c r="A65" s="2" t="s">
        <v>205</v>
      </c>
      <c r="B65" s="2" t="s">
        <v>70</v>
      </c>
      <c r="C65" s="2">
        <v>40.030000000000001</v>
      </c>
      <c r="D65" s="2">
        <v>37.659999999999997</v>
      </c>
      <c r="E65" s="2">
        <v>50.119999999999997</v>
      </c>
      <c r="F65" s="2">
        <v>54.840000000000003</v>
      </c>
      <c r="G65" s="2">
        <v>64.420000000000002</v>
      </c>
      <c r="H65" s="2">
        <v>79.319999999999993</v>
      </c>
      <c r="I65" s="2">
        <v>82.599999999999994</v>
      </c>
      <c r="J65" s="2">
        <v>84.230000000000004</v>
      </c>
      <c r="K65" s="2">
        <v>98.840000000000003</v>
      </c>
      <c r="L65" s="2">
        <v>133.86000000000001</v>
      </c>
      <c r="M65" s="2">
        <v>111.37</v>
      </c>
      <c r="N65" s="14">
        <f t="shared" si="21"/>
        <v>0.107741083470991</v>
      </c>
      <c r="O65" s="14">
        <f>(1+N65)/(1+WPI!$J$5)-1</f>
        <v>0.074904132583560004</v>
      </c>
      <c r="P65" s="2" t="str">
        <f t="shared" si="22"/>
        <v>Yes</v>
      </c>
      <c r="Q65" s="14">
        <f t="shared" si="23"/>
        <v>-0.168011355147169</v>
      </c>
    </row>
    <row r="66" ht="15">
      <c r="A66" s="2" t="s">
        <v>206</v>
      </c>
      <c r="B66" s="2" t="s">
        <v>71</v>
      </c>
      <c r="C66" s="2">
        <v>393.56</v>
      </c>
      <c r="D66" s="2">
        <v>412.95999999999998</v>
      </c>
      <c r="E66" s="2">
        <v>572.30999999999995</v>
      </c>
      <c r="F66" s="2">
        <v>699.02999999999997</v>
      </c>
      <c r="G66" s="2">
        <v>1021.27</v>
      </c>
      <c r="H66" s="2">
        <v>1249.0799999999999</v>
      </c>
      <c r="I66" s="2">
        <v>1352.6300000000001</v>
      </c>
      <c r="J66" s="2">
        <v>1325.25</v>
      </c>
      <c r="K66" s="2">
        <v>1603.77</v>
      </c>
      <c r="L66" s="2">
        <v>2053.5900000000001</v>
      </c>
      <c r="M66" s="2">
        <v>2256.52</v>
      </c>
      <c r="N66" s="14">
        <f t="shared" si="21"/>
        <v>0.19081096099758699</v>
      </c>
      <c r="O66" s="14">
        <f>(1+N66)/(1+WPI!$J$5)-1</f>
        <v>0.15551155608613501</v>
      </c>
      <c r="P66" s="2" t="str">
        <f t="shared" si="22"/>
        <v>Yes</v>
      </c>
      <c r="Q66" s="14">
        <f t="shared" si="23"/>
        <v>0.0988171933053823</v>
      </c>
    </row>
    <row r="67" ht="15">
      <c r="A67" s="2" t="s">
        <v>207</v>
      </c>
      <c r="B67" s="2" t="s">
        <v>69</v>
      </c>
      <c r="C67" s="2">
        <v>1.3999999999999999</v>
      </c>
      <c r="D67" s="2">
        <v>4.6799999999999997</v>
      </c>
      <c r="E67" s="2">
        <v>11.27</v>
      </c>
      <c r="F67" s="2">
        <v>11.68</v>
      </c>
      <c r="G67" s="2">
        <v>3.5099999999999998</v>
      </c>
      <c r="H67" s="2">
        <v>6.5599999999999996</v>
      </c>
      <c r="I67" s="2">
        <v>20.390000000000001</v>
      </c>
      <c r="J67" s="2">
        <v>26.989999999999998</v>
      </c>
      <c r="K67" s="2">
        <v>30.460000000000001</v>
      </c>
      <c r="L67" s="2">
        <v>29.18</v>
      </c>
      <c r="M67" s="2">
        <v>13.470000000000001</v>
      </c>
      <c r="N67" s="14">
        <f t="shared" si="21"/>
        <v>0.25407628711476898</v>
      </c>
      <c r="O67" s="14">
        <f>(1+N67)/(1+WPI!$J$5)-1</f>
        <v>0.216901497749689</v>
      </c>
      <c r="P67" s="2" t="str">
        <f t="shared" si="22"/>
        <v>Yes</v>
      </c>
      <c r="Q67" s="14">
        <f t="shared" si="23"/>
        <v>-0.53838245373543503</v>
      </c>
    </row>
    <row r="68" ht="15">
      <c r="A68" s="2" t="s">
        <v>208</v>
      </c>
      <c r="B68" s="2" t="s">
        <v>69</v>
      </c>
      <c r="C68" s="2">
        <v>1.3200000000000001</v>
      </c>
      <c r="D68" s="2">
        <v>4.1399999999999997</v>
      </c>
      <c r="E68" s="2">
        <v>4.8799999999999999</v>
      </c>
      <c r="F68" s="2">
        <v>81.840000000000003</v>
      </c>
      <c r="G68" s="2">
        <v>25.739999999999998</v>
      </c>
      <c r="H68" s="2">
        <v>22.91</v>
      </c>
      <c r="I68" s="2">
        <v>21.539999999999999</v>
      </c>
      <c r="J68" s="2">
        <v>21.649999999999999</v>
      </c>
      <c r="K68" s="2">
        <v>25.710000000000001</v>
      </c>
      <c r="L68" s="2">
        <v>27.800000000000001</v>
      </c>
      <c r="M68" s="2">
        <v>33.719999999999999</v>
      </c>
      <c r="N68" s="14">
        <f t="shared" si="21"/>
        <v>0.382710826916761</v>
      </c>
      <c r="O68" s="14">
        <f>(1+N68)/(1+WPI!$J$5)-1</f>
        <v>0.34172290275968598</v>
      </c>
      <c r="P68" s="2" t="str">
        <f t="shared" si="22"/>
        <v>Yes</v>
      </c>
      <c r="Q68" s="14">
        <f t="shared" si="23"/>
        <v>0.21294964028777</v>
      </c>
    </row>
    <row r="69" ht="15">
      <c r="A69" s="2" t="s">
        <v>209</v>
      </c>
      <c r="B69" s="2" t="s">
        <v>69</v>
      </c>
      <c r="C69" s="2">
        <v>12.609999999999999</v>
      </c>
      <c r="D69" s="2">
        <v>6.8799999999999999</v>
      </c>
      <c r="E69" s="2">
        <v>5.1100000000000003</v>
      </c>
      <c r="F69" s="2">
        <v>4.6399999999999997</v>
      </c>
      <c r="G69" s="2">
        <v>4.46</v>
      </c>
      <c r="H69" s="2">
        <v>2.9399999999999999</v>
      </c>
      <c r="I69" s="2">
        <v>1.8300000000000001</v>
      </c>
      <c r="J69" s="2">
        <v>1.1200000000000001</v>
      </c>
      <c r="K69" s="2">
        <v>0.050000000000000003</v>
      </c>
      <c r="L69" s="2">
        <v>0.92000000000000004</v>
      </c>
      <c r="M69" s="2">
        <v>0.47999999999999998</v>
      </c>
      <c r="N69" s="14">
        <f t="shared" si="21"/>
        <v>-0.27880515284937901</v>
      </c>
      <c r="O69" s="14">
        <f>(1+N69)/(1+WPI!$J$5)-1</f>
        <v>-0.30018365016207998</v>
      </c>
      <c r="P69" s="2" t="str">
        <f t="shared" si="22"/>
        <v>No</v>
      </c>
      <c r="Q69" s="14">
        <f t="shared" si="23"/>
        <v>-0.47826086956521702</v>
      </c>
    </row>
    <row r="70" ht="15">
      <c r="A70" s="2" t="s">
        <v>210</v>
      </c>
      <c r="B70" s="2" t="s">
        <v>72</v>
      </c>
      <c r="C70" s="2">
        <v>1468.0599999999999</v>
      </c>
      <c r="D70" s="2">
        <v>1717.52</v>
      </c>
      <c r="E70" s="2">
        <v>1279.1700000000001</v>
      </c>
      <c r="F70" s="2">
        <v>1072.25</v>
      </c>
      <c r="G70" s="2">
        <v>1198.5799999999999</v>
      </c>
      <c r="H70" s="2">
        <v>1350.3800000000001</v>
      </c>
      <c r="I70" s="2">
        <v>1344.1700000000001</v>
      </c>
      <c r="J70" s="2">
        <v>1431.23</v>
      </c>
      <c r="K70" s="2">
        <v>1535.8699999999999</v>
      </c>
      <c r="L70" s="2">
        <v>1504.99</v>
      </c>
      <c r="M70" s="2">
        <v>1750.21</v>
      </c>
      <c r="N70" s="14">
        <f t="shared" si="21"/>
        <v>0.0177348249960094</v>
      </c>
      <c r="O70" s="14">
        <f>(1+N70)/(1+WPI!$J$5)-1</f>
        <v>-0.0124340555876249</v>
      </c>
      <c r="P70" s="2" t="str">
        <f t="shared" si="22"/>
        <v>No</v>
      </c>
      <c r="Q70" s="14">
        <f t="shared" si="23"/>
        <v>0.16293795972066299</v>
      </c>
    </row>
    <row r="71" ht="15">
      <c r="A71" s="2" t="s">
        <v>92</v>
      </c>
      <c r="B71" s="2" t="s">
        <v>72</v>
      </c>
      <c r="C71" s="2">
        <v>1343.28</v>
      </c>
      <c r="D71" s="2">
        <v>1538.53</v>
      </c>
      <c r="E71" s="2">
        <v>2054.1900000000001</v>
      </c>
      <c r="F71" s="2">
        <v>2797.1199999999999</v>
      </c>
      <c r="G71" s="2">
        <v>3738.1199999999999</v>
      </c>
      <c r="H71" s="2">
        <v>4467.6199999999999</v>
      </c>
      <c r="I71" s="2">
        <v>6933.6199999999999</v>
      </c>
      <c r="J71" s="2">
        <v>5333.5200000000004</v>
      </c>
      <c r="K71" s="2">
        <v>5199.6000000000004</v>
      </c>
      <c r="L71" s="2">
        <v>6455.8800000000001</v>
      </c>
      <c r="M71" s="2">
        <v>6775.1099999999997</v>
      </c>
      <c r="N71" s="14">
        <f t="shared" si="21"/>
        <v>0.17564169491001799</v>
      </c>
      <c r="O71" s="14">
        <f>(1+N71)/(1+WPI!$J$5)-1</f>
        <v>0.14079195504480199</v>
      </c>
      <c r="P71" s="2" t="str">
        <f t="shared" si="22"/>
        <v>Yes</v>
      </c>
      <c r="Q71" s="14">
        <f t="shared" si="23"/>
        <v>0.049447945129091501</v>
      </c>
    </row>
    <row r="72" ht="15">
      <c r="A72" s="2" t="s">
        <v>211</v>
      </c>
      <c r="B72" s="2" t="s">
        <v>72</v>
      </c>
      <c r="C72" s="2">
        <v>535.41999999999996</v>
      </c>
      <c r="D72" s="2">
        <v>503.35000000000002</v>
      </c>
      <c r="E72" s="2">
        <v>706.30999999999995</v>
      </c>
      <c r="F72" s="2">
        <v>662.61000000000001</v>
      </c>
      <c r="G72" s="2">
        <v>832.69000000000005</v>
      </c>
      <c r="H72" s="2">
        <v>860.20000000000005</v>
      </c>
      <c r="I72" s="2">
        <v>918.63999999999999</v>
      </c>
      <c r="J72" s="2">
        <v>1019.67</v>
      </c>
      <c r="K72" s="2">
        <v>1280.24</v>
      </c>
      <c r="L72" s="2">
        <v>1562.03</v>
      </c>
      <c r="M72" s="2">
        <v>1457.27</v>
      </c>
      <c r="N72" s="14">
        <f t="shared" si="21"/>
        <v>0.10531113068433801</v>
      </c>
      <c r="O72" s="14">
        <f>(1+N72)/(1+WPI!$J$5)-1</f>
        <v>0.072546211286489901</v>
      </c>
      <c r="P72" s="2" t="str">
        <f t="shared" si="22"/>
        <v>Yes</v>
      </c>
      <c r="Q72" s="14">
        <f t="shared" si="23"/>
        <v>-0.067066573625346501</v>
      </c>
    </row>
    <row r="73" ht="15">
      <c r="A73" s="2" t="s">
        <v>212</v>
      </c>
      <c r="B73" s="2" t="s">
        <v>69</v>
      </c>
      <c r="C73" s="2">
        <v>18.07</v>
      </c>
      <c r="D73" s="2">
        <v>19.300000000000001</v>
      </c>
      <c r="E73" s="2">
        <v>31.77</v>
      </c>
      <c r="F73" s="2">
        <v>31.23</v>
      </c>
      <c r="G73" s="2">
        <v>36.880000000000003</v>
      </c>
      <c r="H73" s="2">
        <v>38.780000000000001</v>
      </c>
      <c r="I73" s="2">
        <v>27.510000000000002</v>
      </c>
      <c r="J73" s="2">
        <v>51.409999999999997</v>
      </c>
      <c r="K73" s="2">
        <v>57.649999999999999</v>
      </c>
      <c r="L73" s="2">
        <v>52.920000000000002</v>
      </c>
      <c r="M73" s="2">
        <v>51.159999999999997</v>
      </c>
      <c r="N73" s="14">
        <f t="shared" si="21"/>
        <v>0.109678670313146</v>
      </c>
      <c r="O73" s="14">
        <f>(1+N73)/(1+WPI!$J$5)-1</f>
        <v>0.076784283220698399</v>
      </c>
      <c r="P73" s="2" t="str">
        <f t="shared" si="22"/>
        <v>Yes</v>
      </c>
      <c r="Q73" s="14">
        <f t="shared" si="23"/>
        <v>-0.033257747543461898</v>
      </c>
    </row>
    <row r="74" ht="15">
      <c r="A74" s="2" t="s">
        <v>213</v>
      </c>
      <c r="B74" s="2" t="s">
        <v>71</v>
      </c>
      <c r="C74" s="2">
        <v>380.44</v>
      </c>
      <c r="D74" s="2">
        <v>416.64999999999998</v>
      </c>
      <c r="E74" s="2">
        <v>499.45999999999998</v>
      </c>
      <c r="F74" s="2">
        <v>525.53999999999996</v>
      </c>
      <c r="G74" s="2">
        <v>620.63</v>
      </c>
      <c r="H74" s="2">
        <v>423.37</v>
      </c>
      <c r="I74" s="2">
        <v>638.76999999999998</v>
      </c>
      <c r="J74" s="2">
        <v>764.35000000000002</v>
      </c>
      <c r="K74" s="2">
        <v>979.79999999999995</v>
      </c>
      <c r="L74" s="2">
        <v>1645.5899999999999</v>
      </c>
      <c r="M74" s="2">
        <v>1863.51</v>
      </c>
      <c r="N74" s="14">
        <f t="shared" ref="N74:N99" si="24">(M74/C74)^(1/10)-1</f>
        <v>0.17220766116497099</v>
      </c>
      <c r="O74" s="14">
        <f>(1+N74)/(1+WPI!$J$5)-1</f>
        <v>0.13745971692611</v>
      </c>
      <c r="P74" s="2" t="str">
        <f t="shared" ref="P74:P99" si="25">IF(O74&gt;0,"Yes","No")</f>
        <v>Yes</v>
      </c>
      <c r="Q74" s="14">
        <f t="shared" ref="Q74:Q99" si="26">M74/L74-1</f>
        <v>0.13242666763896199</v>
      </c>
    </row>
    <row r="75" ht="15">
      <c r="A75" s="2" t="s">
        <v>214</v>
      </c>
      <c r="B75" s="2" t="s">
        <v>72</v>
      </c>
      <c r="C75" s="2">
        <v>540.05999999999995</v>
      </c>
      <c r="D75" s="2">
        <v>1024.72</v>
      </c>
      <c r="E75" s="2">
        <v>1325.5799999999999</v>
      </c>
      <c r="F75" s="2">
        <v>1100.3399999999999</v>
      </c>
      <c r="G75" s="2">
        <v>958.55999999999995</v>
      </c>
      <c r="H75" s="2">
        <v>666.29999999999995</v>
      </c>
      <c r="I75" s="2">
        <v>652.76999999999998</v>
      </c>
      <c r="J75" s="2">
        <v>690.61000000000001</v>
      </c>
      <c r="K75" s="2">
        <v>730.92999999999995</v>
      </c>
      <c r="L75" s="2">
        <v>724.08000000000004</v>
      </c>
      <c r="M75" s="2">
        <v>751.84000000000003</v>
      </c>
      <c r="N75" s="14">
        <f t="shared" si="24"/>
        <v>0.033637701288447903</v>
      </c>
      <c r="O75" s="14">
        <f>(1+N75)/(1+WPI!$J$5)-1</f>
        <v>0.0029974091307771698</v>
      </c>
      <c r="P75" s="2" t="str">
        <f t="shared" si="25"/>
        <v>Yes</v>
      </c>
      <c r="Q75" s="14">
        <f t="shared" si="26"/>
        <v>0.0383383051596509</v>
      </c>
    </row>
    <row r="76" ht="15">
      <c r="A76" s="2" t="s">
        <v>215</v>
      </c>
      <c r="B76" s="2" t="s">
        <v>71</v>
      </c>
      <c r="C76" s="2">
        <v>402.31</v>
      </c>
      <c r="D76" s="2">
        <v>457.99000000000001</v>
      </c>
      <c r="E76" s="2">
        <v>540.21000000000004</v>
      </c>
      <c r="F76" s="2">
        <v>611.86000000000001</v>
      </c>
      <c r="G76" s="2">
        <v>685.13999999999999</v>
      </c>
      <c r="H76" s="2">
        <v>807.77999999999997</v>
      </c>
      <c r="I76" s="2">
        <v>920.65999999999997</v>
      </c>
      <c r="J76" s="2">
        <v>999.39999999999998</v>
      </c>
      <c r="K76" s="2">
        <v>967.14999999999998</v>
      </c>
      <c r="L76" s="2">
        <v>892.72000000000003</v>
      </c>
      <c r="M76" s="2">
        <v>982.5</v>
      </c>
      <c r="N76" s="14">
        <f t="shared" si="24"/>
        <v>0.093395225486574404</v>
      </c>
      <c r="O76" s="14">
        <f>(1+N76)/(1+WPI!$J$5)-1</f>
        <v>0.060983531223729702</v>
      </c>
      <c r="P76" s="2" t="str">
        <f t="shared" si="25"/>
        <v>Yes</v>
      </c>
      <c r="Q76" s="14">
        <f t="shared" si="26"/>
        <v>0.100569047405682</v>
      </c>
    </row>
    <row r="77" ht="15">
      <c r="A77" s="2" t="s">
        <v>100</v>
      </c>
      <c r="B77" s="2" t="s">
        <v>72</v>
      </c>
      <c r="C77" s="2">
        <v>1588.75</v>
      </c>
      <c r="D77" s="2">
        <v>1878.7</v>
      </c>
      <c r="E77" s="2">
        <v>2318.5</v>
      </c>
      <c r="F77" s="2">
        <v>2763.4899999999998</v>
      </c>
      <c r="G77" s="2">
        <v>3213.8000000000002</v>
      </c>
      <c r="H77" s="2">
        <v>3079.8899999999999</v>
      </c>
      <c r="I77" s="2">
        <v>2798.7399999999998</v>
      </c>
      <c r="J77" s="2">
        <v>3090.7199999999998</v>
      </c>
      <c r="K77" s="2">
        <v>3164.4699999999998</v>
      </c>
      <c r="L77" s="2">
        <v>3577.9400000000001</v>
      </c>
      <c r="M77" s="2">
        <v>4302.75</v>
      </c>
      <c r="N77" s="14">
        <f t="shared" si="24"/>
        <v>0.104762832779751</v>
      </c>
      <c r="O77" s="14">
        <f>(1+N77)/(1+WPI!$J$5)-1</f>
        <v>0.072014166666748203</v>
      </c>
      <c r="P77" s="2" t="str">
        <f t="shared" si="25"/>
        <v>Yes</v>
      </c>
      <c r="Q77" s="14">
        <f t="shared" si="26"/>
        <v>0.20257746077351799</v>
      </c>
    </row>
    <row r="78" ht="15">
      <c r="A78" s="2" t="s">
        <v>216</v>
      </c>
      <c r="B78" s="2" t="s">
        <v>69</v>
      </c>
      <c r="C78" s="2">
        <v>4.9199999999999999</v>
      </c>
      <c r="D78" s="2">
        <v>8.1799999999999997</v>
      </c>
      <c r="E78" s="2">
        <v>5.3600000000000003</v>
      </c>
      <c r="F78" s="2">
        <v>11.76</v>
      </c>
      <c r="G78" s="2">
        <v>7.3399999999999999</v>
      </c>
      <c r="H78" s="2">
        <v>7.54</v>
      </c>
      <c r="I78" s="2">
        <v>7.0999999999999996</v>
      </c>
      <c r="J78" s="2">
        <v>6.4400000000000004</v>
      </c>
      <c r="K78" s="2">
        <v>6.9000000000000004</v>
      </c>
      <c r="L78" s="2">
        <v>9.0899999999999999</v>
      </c>
      <c r="M78" s="2">
        <v>14.83</v>
      </c>
      <c r="N78" s="14">
        <f t="shared" si="24"/>
        <v>0.116651374463239</v>
      </c>
      <c r="O78" s="14">
        <f>(1+N78)/(1+WPI!$J$5)-1</f>
        <v>0.083550294356380395</v>
      </c>
      <c r="P78" s="2" t="str">
        <f t="shared" si="25"/>
        <v>Yes</v>
      </c>
      <c r="Q78" s="14">
        <f t="shared" si="26"/>
        <v>0.63146314631463096</v>
      </c>
    </row>
    <row r="79" ht="15">
      <c r="A79" s="2" t="s">
        <v>217</v>
      </c>
      <c r="B79" s="2" t="s">
        <v>72</v>
      </c>
      <c r="C79" s="2">
        <v>675.90999999999997</v>
      </c>
      <c r="D79" s="2">
        <v>727.61000000000001</v>
      </c>
      <c r="E79" s="2">
        <v>539.58000000000004</v>
      </c>
      <c r="F79" s="2">
        <v>681.01999999999998</v>
      </c>
      <c r="G79" s="2">
        <v>806.05999999999995</v>
      </c>
      <c r="H79" s="2">
        <v>871.02999999999997</v>
      </c>
      <c r="I79" s="2">
        <v>965.64999999999998</v>
      </c>
      <c r="J79" s="2">
        <v>1158.9000000000001</v>
      </c>
      <c r="K79" s="2">
        <v>1223.6199999999999</v>
      </c>
      <c r="L79" s="2">
        <v>1452.0799999999999</v>
      </c>
      <c r="M79" s="2">
        <v>1588.3099999999999</v>
      </c>
      <c r="N79" s="14">
        <f t="shared" si="24"/>
        <v>0.089192494087419402</v>
      </c>
      <c r="O79" s="14">
        <f>(1+N79)/(1+WPI!$J$5)-1</f>
        <v>0.0569053820817522</v>
      </c>
      <c r="P79" s="2" t="str">
        <f t="shared" si="25"/>
        <v>Yes</v>
      </c>
      <c r="Q79" s="14">
        <f t="shared" si="26"/>
        <v>0.093817145060878196</v>
      </c>
    </row>
    <row r="80" ht="15">
      <c r="A80" s="2" t="s">
        <v>218</v>
      </c>
      <c r="B80" s="2" t="s">
        <v>70</v>
      </c>
      <c r="C80" s="2">
        <v>50.939999999999998</v>
      </c>
      <c r="D80" s="2">
        <v>47.359999999999999</v>
      </c>
      <c r="E80" s="2">
        <v>53.460000000000001</v>
      </c>
      <c r="F80" s="2">
        <v>29.559999999999999</v>
      </c>
      <c r="G80" s="2">
        <v>31.620000000000001</v>
      </c>
      <c r="H80" s="2">
        <v>54.450000000000003</v>
      </c>
      <c r="I80" s="2">
        <v>98.109999999999999</v>
      </c>
      <c r="J80" s="2">
        <v>101.2</v>
      </c>
      <c r="K80" s="2">
        <v>136.12</v>
      </c>
      <c r="L80" s="2">
        <v>117.59</v>
      </c>
      <c r="M80" s="2">
        <v>131.41</v>
      </c>
      <c r="N80" s="14">
        <f t="shared" si="24"/>
        <v>0.099403075318542394</v>
      </c>
      <c r="O80" s="14">
        <f>(1+N80)/(1+WPI!$J$5)-1</f>
        <v>0.066813289376319598</v>
      </c>
      <c r="P80" s="2" t="str">
        <f t="shared" si="25"/>
        <v>Yes</v>
      </c>
      <c r="Q80" s="14">
        <f t="shared" si="26"/>
        <v>0.11752700059528901</v>
      </c>
    </row>
    <row r="81" ht="15">
      <c r="A81" s="2" t="s">
        <v>219</v>
      </c>
      <c r="B81" s="2" t="s">
        <v>71</v>
      </c>
      <c r="C81" s="2">
        <v>142.22</v>
      </c>
      <c r="D81" s="2">
        <v>163.88999999999999</v>
      </c>
      <c r="E81" s="2">
        <v>179.31</v>
      </c>
      <c r="F81" s="2">
        <v>168.94999999999999</v>
      </c>
      <c r="G81" s="2">
        <v>144.62</v>
      </c>
      <c r="H81" s="2">
        <v>138.34999999999999</v>
      </c>
      <c r="I81" s="2">
        <v>143.72</v>
      </c>
      <c r="J81" s="2">
        <v>145.06999999999999</v>
      </c>
      <c r="K81" s="2">
        <v>126.59999999999999</v>
      </c>
      <c r="L81" s="2">
        <v>166.83000000000001</v>
      </c>
      <c r="M81" s="2">
        <v>158.56999999999999</v>
      </c>
      <c r="N81" s="14">
        <f t="shared" si="24"/>
        <v>0.0109415235669843</v>
      </c>
      <c r="O81" s="14">
        <f>(1+N81)/(1+WPI!$J$5)-1</f>
        <v>-0.019025982066567498</v>
      </c>
      <c r="P81" s="2" t="str">
        <f t="shared" si="25"/>
        <v>No</v>
      </c>
      <c r="Q81" s="14">
        <f t="shared" si="26"/>
        <v>-0.049511478750824303</v>
      </c>
    </row>
    <row r="82" ht="15">
      <c r="A82" s="2" t="s">
        <v>220</v>
      </c>
      <c r="B82" s="2" t="s">
        <v>69</v>
      </c>
      <c r="C82" s="2">
        <v>11.43</v>
      </c>
      <c r="D82" s="2">
        <v>57.270000000000003</v>
      </c>
      <c r="E82" s="2">
        <v>60.68</v>
      </c>
      <c r="F82" s="2">
        <v>70.430000000000007</v>
      </c>
      <c r="G82" s="2">
        <v>77.379999999999995</v>
      </c>
      <c r="H82" s="2">
        <v>86.340000000000003</v>
      </c>
      <c r="I82" s="2">
        <v>94.299999999999997</v>
      </c>
      <c r="J82" s="2">
        <v>104.52</v>
      </c>
      <c r="K82" s="2">
        <v>114.31999999999999</v>
      </c>
      <c r="L82" s="2">
        <v>122.05</v>
      </c>
      <c r="M82" s="2">
        <v>118.04000000000001</v>
      </c>
      <c r="N82" s="14">
        <f t="shared" si="24"/>
        <v>0.26298530363872402</v>
      </c>
      <c r="O82" s="14">
        <f>(1+N82)/(1+WPI!$J$5)-1</f>
        <v>0.22554642283349</v>
      </c>
      <c r="P82" s="2" t="str">
        <f t="shared" si="25"/>
        <v>Yes</v>
      </c>
      <c r="Q82" s="14">
        <f t="shared" si="26"/>
        <v>-0.032855387136419403</v>
      </c>
    </row>
    <row r="83" ht="15">
      <c r="A83" s="2" t="s">
        <v>221</v>
      </c>
      <c r="B83" s="2" t="s">
        <v>72</v>
      </c>
      <c r="C83" s="2">
        <v>535.59000000000003</v>
      </c>
      <c r="D83" s="2">
        <v>414.02999999999997</v>
      </c>
      <c r="E83" s="2">
        <v>1093.3099999999999</v>
      </c>
      <c r="F83" s="2">
        <v>947.71000000000004</v>
      </c>
      <c r="G83" s="2">
        <v>932.75999999999999</v>
      </c>
      <c r="H83" s="2">
        <v>866.36000000000001</v>
      </c>
      <c r="I83" s="2">
        <v>303.18000000000001</v>
      </c>
      <c r="J83" s="2">
        <v>308.50999999999999</v>
      </c>
      <c r="K83" s="2">
        <v>380.38</v>
      </c>
      <c r="L83" s="2">
        <v>322.95999999999998</v>
      </c>
      <c r="M83" s="2">
        <v>300.31</v>
      </c>
      <c r="N83" s="14">
        <f t="shared" si="24"/>
        <v>-0.056213559630686097</v>
      </c>
      <c r="O83" s="14">
        <f>(1+N83)/(1+WPI!$J$5)-1</f>
        <v>-0.084190376102566994</v>
      </c>
      <c r="P83" s="2" t="str">
        <f t="shared" si="25"/>
        <v>No</v>
      </c>
      <c r="Q83" s="14">
        <f t="shared" si="26"/>
        <v>-0.070132524151597694</v>
      </c>
    </row>
    <row r="84" ht="15">
      <c r="A84" s="2" t="s">
        <v>222</v>
      </c>
      <c r="B84" s="2" t="s">
        <v>71</v>
      </c>
      <c r="C84" s="2">
        <v>212.03</v>
      </c>
      <c r="D84" s="2">
        <v>207.40000000000001</v>
      </c>
      <c r="E84" s="2">
        <v>230.88999999999999</v>
      </c>
      <c r="F84" s="2">
        <v>223.58000000000001</v>
      </c>
      <c r="G84" s="2">
        <v>241.59</v>
      </c>
      <c r="H84" s="2">
        <v>247.24000000000001</v>
      </c>
      <c r="I84" s="2">
        <v>326.92000000000002</v>
      </c>
      <c r="J84" s="2">
        <v>386.26999999999998</v>
      </c>
      <c r="K84" s="2">
        <v>353.82999999999998</v>
      </c>
      <c r="L84" s="2">
        <v>360.36000000000001</v>
      </c>
      <c r="M84" s="2">
        <v>432.14999999999998</v>
      </c>
      <c r="N84" s="14">
        <f t="shared" si="24"/>
        <v>0.073800793113361296</v>
      </c>
      <c r="O84" s="14">
        <f>(1+N84)/(1+WPI!$J$5)-1</f>
        <v>0.041969939827805502</v>
      </c>
      <c r="P84" s="2" t="str">
        <f t="shared" si="25"/>
        <v>Yes</v>
      </c>
      <c r="Q84" s="14">
        <f t="shared" si="26"/>
        <v>0.19921744921744899</v>
      </c>
    </row>
    <row r="85" ht="15">
      <c r="A85" s="2" t="s">
        <v>223</v>
      </c>
      <c r="B85" s="2" t="s">
        <v>71</v>
      </c>
      <c r="C85" s="2">
        <v>142.65000000000001</v>
      </c>
      <c r="D85" s="2">
        <v>63.93</v>
      </c>
      <c r="E85" s="2">
        <v>20.75</v>
      </c>
      <c r="F85" s="2">
        <v>31.989999999999998</v>
      </c>
      <c r="G85" s="2">
        <v>14.220000000000001</v>
      </c>
      <c r="H85" s="2">
        <v>18.440000000000001</v>
      </c>
      <c r="I85" s="2">
        <v>20.82</v>
      </c>
      <c r="J85" s="2">
        <v>27.16</v>
      </c>
      <c r="K85" s="2">
        <v>49.770000000000003</v>
      </c>
      <c r="L85" s="2">
        <v>95.569999999999993</v>
      </c>
      <c r="M85" s="2">
        <v>57.020000000000003</v>
      </c>
      <c r="N85" s="14">
        <f t="shared" si="24"/>
        <v>-0.087620447426397297</v>
      </c>
      <c r="O85" s="14">
        <f>(1+N85)/(1+WPI!$J$5)-1</f>
        <v>-0.114666264364666</v>
      </c>
      <c r="P85" s="2" t="str">
        <f t="shared" si="25"/>
        <v>No</v>
      </c>
      <c r="Q85" s="14">
        <f t="shared" si="26"/>
        <v>-0.40336925813539798</v>
      </c>
    </row>
    <row r="86" ht="15">
      <c r="A86" s="2" t="s">
        <v>103</v>
      </c>
      <c r="B86" s="2" t="s">
        <v>71</v>
      </c>
      <c r="C86" s="2">
        <v>187.31999999999999</v>
      </c>
      <c r="D86" s="2">
        <v>261.48000000000002</v>
      </c>
      <c r="E86" s="2">
        <v>427.63999999999999</v>
      </c>
      <c r="F86" s="2">
        <v>689.99000000000001</v>
      </c>
      <c r="G86" s="2">
        <v>1126.1300000000001</v>
      </c>
      <c r="H86" s="2">
        <v>1312.1099999999999</v>
      </c>
      <c r="I86" s="2">
        <v>1743.8399999999999</v>
      </c>
      <c r="J86" s="2">
        <v>1836.21</v>
      </c>
      <c r="K86" s="2">
        <v>1893.4200000000001</v>
      </c>
      <c r="L86" s="2">
        <v>2074.0700000000002</v>
      </c>
      <c r="M86" s="2">
        <v>2645.1500000000001</v>
      </c>
      <c r="N86" s="14">
        <f t="shared" si="24"/>
        <v>0.30312661706104199</v>
      </c>
      <c r="O86" s="14">
        <f>(1+N86)/(1+WPI!$J$5)-1</f>
        <v>0.26449782070868699</v>
      </c>
      <c r="P86" s="2" t="str">
        <f t="shared" si="25"/>
        <v>Yes</v>
      </c>
      <c r="Q86" s="14">
        <f t="shared" si="26"/>
        <v>0.27534268370884302</v>
      </c>
    </row>
    <row r="87" ht="15">
      <c r="A87" s="2" t="s">
        <v>224</v>
      </c>
      <c r="B87" s="2" t="s">
        <v>70</v>
      </c>
      <c r="C87" s="2">
        <v>74.510000000000005</v>
      </c>
      <c r="D87" s="2">
        <v>88.109999999999999</v>
      </c>
      <c r="E87" s="2">
        <v>123.94</v>
      </c>
      <c r="F87" s="2">
        <v>167.97999999999999</v>
      </c>
      <c r="G87" s="2">
        <v>221.31999999999999</v>
      </c>
      <c r="H87" s="2">
        <v>165.09</v>
      </c>
      <c r="I87" s="2">
        <v>187.34999999999999</v>
      </c>
      <c r="J87" s="2">
        <v>201.83000000000001</v>
      </c>
      <c r="K87" s="2">
        <v>209.31999999999999</v>
      </c>
      <c r="L87" s="2">
        <v>233.81999999999999</v>
      </c>
      <c r="M87" s="2">
        <v>321.63</v>
      </c>
      <c r="N87" s="14">
        <f t="shared" si="24"/>
        <v>0.157481873945198</v>
      </c>
      <c r="O87" s="14">
        <f>(1+N87)/(1+WPI!$J$5)-1</f>
        <v>0.123170448635653</v>
      </c>
      <c r="P87" s="2" t="str">
        <f t="shared" si="25"/>
        <v>Yes</v>
      </c>
      <c r="Q87" s="14">
        <f t="shared" si="26"/>
        <v>0.375545291249679</v>
      </c>
    </row>
    <row r="88" ht="15">
      <c r="A88" s="2" t="s">
        <v>225</v>
      </c>
      <c r="B88" s="2" t="s">
        <v>71</v>
      </c>
      <c r="C88" s="2">
        <v>123.22</v>
      </c>
      <c r="D88" s="2">
        <v>167.11000000000001</v>
      </c>
      <c r="E88" s="2">
        <v>174.31999999999999</v>
      </c>
      <c r="F88" s="2">
        <v>190.81999999999999</v>
      </c>
      <c r="G88" s="2">
        <v>207.31999999999999</v>
      </c>
      <c r="H88" s="2">
        <v>221.63999999999999</v>
      </c>
      <c r="I88" s="2">
        <v>306.55000000000001</v>
      </c>
      <c r="J88" s="2">
        <v>297.81999999999999</v>
      </c>
      <c r="K88" s="2">
        <v>317.49000000000001</v>
      </c>
      <c r="L88" s="2">
        <v>341.08999999999997</v>
      </c>
      <c r="M88" s="2">
        <v>364.38999999999999</v>
      </c>
      <c r="N88" s="14">
        <f t="shared" si="24"/>
        <v>0.11452168934107</v>
      </c>
      <c r="O88" s="14">
        <f>(1+N88)/(1+WPI!$J$5)-1</f>
        <v>0.081483739840095604</v>
      </c>
      <c r="P88" s="2" t="str">
        <f t="shared" si="25"/>
        <v>Yes</v>
      </c>
      <c r="Q88" s="14">
        <f t="shared" si="26"/>
        <v>0.068310416605587898</v>
      </c>
    </row>
    <row r="89" ht="15">
      <c r="A89" s="2" t="s">
        <v>226</v>
      </c>
      <c r="B89" s="2" t="s">
        <v>69</v>
      </c>
      <c r="C89" s="2">
        <v>11.800000000000001</v>
      </c>
      <c r="D89" s="2">
        <v>14.43</v>
      </c>
      <c r="E89" s="2">
        <v>19.170000000000002</v>
      </c>
      <c r="F89" s="2">
        <v>18.059999999999999</v>
      </c>
      <c r="G89" s="2">
        <v>25.940000000000001</v>
      </c>
      <c r="H89" s="2">
        <v>19.059999999999999</v>
      </c>
      <c r="I89" s="2">
        <v>8.4700000000000006</v>
      </c>
      <c r="J89" s="2">
        <v>14.029999999999999</v>
      </c>
      <c r="K89" s="2">
        <v>23.960000000000001</v>
      </c>
      <c r="L89" s="2">
        <v>24.5</v>
      </c>
      <c r="M89" s="2">
        <v>25.469999999999999</v>
      </c>
      <c r="N89" s="14">
        <f t="shared" si="24"/>
        <v>0.079977465620209007</v>
      </c>
      <c r="O89" s="14">
        <f>(1+N89)/(1+WPI!$J$5)-1</f>
        <v>0.047963516216993997</v>
      </c>
      <c r="P89" s="2" t="str">
        <f t="shared" si="25"/>
        <v>Yes</v>
      </c>
      <c r="Q89" s="14">
        <f t="shared" si="26"/>
        <v>0.039591836734693901</v>
      </c>
    </row>
    <row r="90" ht="15">
      <c r="A90" s="2" t="s">
        <v>91</v>
      </c>
      <c r="B90" s="2" t="s">
        <v>72</v>
      </c>
      <c r="C90" s="2">
        <v>3106.7199999999998</v>
      </c>
      <c r="D90" s="2">
        <v>3801.8899999999999</v>
      </c>
      <c r="E90" s="2">
        <v>5216.2799999999997</v>
      </c>
      <c r="F90" s="2">
        <v>6965.4700000000003</v>
      </c>
      <c r="G90" s="2">
        <v>8627.3799999999992</v>
      </c>
      <c r="H90" s="2">
        <v>9328.4400000000005</v>
      </c>
      <c r="I90" s="2">
        <v>10651.51</v>
      </c>
      <c r="J90" s="2">
        <v>12236.950000000001</v>
      </c>
      <c r="K90" s="2">
        <v>9596.8600000000006</v>
      </c>
      <c r="L90" s="2">
        <v>10687.16</v>
      </c>
      <c r="M90" s="2">
        <v>10632.940000000001</v>
      </c>
      <c r="N90" s="14">
        <f t="shared" si="24"/>
        <v>0.13092843837918899</v>
      </c>
      <c r="O90" s="14">
        <f>(1+N90)/(1+WPI!$J$5)-1</f>
        <v>0.097404140921615298</v>
      </c>
      <c r="P90" s="2" t="str">
        <f t="shared" si="25"/>
        <v>Yes</v>
      </c>
      <c r="Q90" s="14">
        <f t="shared" si="26"/>
        <v>-0.0050733777729536902</v>
      </c>
    </row>
    <row r="91" ht="15">
      <c r="A91" s="2" t="s">
        <v>98</v>
      </c>
      <c r="B91" s="2" t="s">
        <v>72</v>
      </c>
      <c r="C91" s="2">
        <v>903.40999999999997</v>
      </c>
      <c r="D91" s="2">
        <v>1406.8599999999999</v>
      </c>
      <c r="E91" s="2">
        <v>1483.95</v>
      </c>
      <c r="F91" s="2">
        <v>1929.1400000000001</v>
      </c>
      <c r="G91" s="2">
        <v>2232.9299999999998</v>
      </c>
      <c r="H91" s="2">
        <v>2576.98</v>
      </c>
      <c r="I91" s="2">
        <v>2998.2199999999998</v>
      </c>
      <c r="J91" s="2">
        <v>3804.6399999999999</v>
      </c>
      <c r="K91" s="2">
        <v>4205.6700000000001</v>
      </c>
      <c r="L91" s="2">
        <v>4680.7200000000003</v>
      </c>
      <c r="M91" s="2">
        <v>4982.0500000000002</v>
      </c>
      <c r="N91" s="14">
        <f t="shared" si="24"/>
        <v>0.18618470229690501</v>
      </c>
      <c r="O91" s="14">
        <f>(1+N91)/(1+WPI!$J$5)-1</f>
        <v>0.151022434331996</v>
      </c>
      <c r="P91" s="2" t="str">
        <f t="shared" si="25"/>
        <v>Yes</v>
      </c>
      <c r="Q91" s="14">
        <f t="shared" si="26"/>
        <v>0.064376848006289594</v>
      </c>
    </row>
    <row r="92" ht="15">
      <c r="A92" s="2" t="s">
        <v>227</v>
      </c>
      <c r="B92" s="2" t="s">
        <v>71</v>
      </c>
      <c r="C92" s="2">
        <v>188.13</v>
      </c>
      <c r="D92" s="2">
        <v>196.72999999999999</v>
      </c>
      <c r="E92" s="2">
        <v>186.72</v>
      </c>
      <c r="F92" s="2">
        <v>220.66999999999999</v>
      </c>
      <c r="G92" s="2">
        <v>240.30000000000001</v>
      </c>
      <c r="H92" s="2">
        <v>251.08000000000001</v>
      </c>
      <c r="I92" s="2">
        <v>287.32999999999998</v>
      </c>
      <c r="J92" s="2">
        <v>317.25</v>
      </c>
      <c r="K92" s="2">
        <v>326.41000000000003</v>
      </c>
      <c r="L92" s="2">
        <v>431.57999999999998</v>
      </c>
      <c r="M92" s="2">
        <v>436.57999999999998</v>
      </c>
      <c r="N92" s="14">
        <f t="shared" si="24"/>
        <v>0.087828864204763102</v>
      </c>
      <c r="O92" s="14">
        <f>(1+N92)/(1+WPI!$J$5)-1</f>
        <v>0.0555821745036882</v>
      </c>
      <c r="P92" s="2" t="str">
        <f t="shared" si="25"/>
        <v>Yes</v>
      </c>
      <c r="Q92" s="14">
        <f t="shared" si="26"/>
        <v>0.0115853375967376</v>
      </c>
    </row>
    <row r="93" ht="15">
      <c r="A93" s="2" t="s">
        <v>228</v>
      </c>
      <c r="B93" s="2" t="s">
        <v>70</v>
      </c>
      <c r="C93" s="2">
        <v>112.29000000000001</v>
      </c>
      <c r="D93" s="2">
        <v>1.2</v>
      </c>
      <c r="E93" s="2">
        <v>155.69</v>
      </c>
      <c r="F93" s="2">
        <v>128.21000000000001</v>
      </c>
      <c r="G93" s="2">
        <v>126.15000000000001</v>
      </c>
      <c r="H93" s="2">
        <v>217.28</v>
      </c>
      <c r="I93" s="2">
        <v>298.06999999999999</v>
      </c>
      <c r="J93" s="2">
        <v>295.18000000000001</v>
      </c>
      <c r="K93" s="2">
        <v>297.93000000000001</v>
      </c>
      <c r="L93" s="2">
        <v>251.59999999999999</v>
      </c>
      <c r="M93" s="2">
        <v>309.66000000000003</v>
      </c>
      <c r="N93" s="14">
        <f t="shared" si="24"/>
        <v>0.106762416089526</v>
      </c>
      <c r="O93" s="14">
        <f>(1+N93)/(1+WPI!$J$5)-1</f>
        <v>0.073954476000033201</v>
      </c>
      <c r="P93" s="2" t="str">
        <f t="shared" si="25"/>
        <v>Yes</v>
      </c>
      <c r="Q93" s="14">
        <f t="shared" si="26"/>
        <v>0.23076311605723401</v>
      </c>
    </row>
    <row r="94" ht="15">
      <c r="A94" s="2" t="s">
        <v>229</v>
      </c>
      <c r="B94" s="2" t="s">
        <v>69</v>
      </c>
      <c r="C94" s="2">
        <v>27.859999999999999</v>
      </c>
      <c r="D94" s="2">
        <v>27.199999999999999</v>
      </c>
      <c r="E94" s="2">
        <v>36.32</v>
      </c>
      <c r="F94" s="2">
        <v>46.100000000000001</v>
      </c>
      <c r="G94" s="2">
        <v>66.870000000000005</v>
      </c>
      <c r="H94" s="2">
        <v>73.420000000000002</v>
      </c>
      <c r="I94" s="2">
        <v>106.98999999999999</v>
      </c>
      <c r="J94" s="2">
        <v>105.19</v>
      </c>
      <c r="K94" s="2">
        <v>148.72</v>
      </c>
      <c r="L94" s="2">
        <v>111.28</v>
      </c>
      <c r="M94" s="2">
        <v>138.62</v>
      </c>
      <c r="N94" s="14">
        <f t="shared" si="24"/>
        <v>0.17404428342005701</v>
      </c>
      <c r="O94" s="14">
        <f>(1+N94)/(1+WPI!$J$5)-1</f>
        <v>0.13924189588601801</v>
      </c>
      <c r="P94" s="2" t="str">
        <f t="shared" si="25"/>
        <v>Yes</v>
      </c>
      <c r="Q94" s="14">
        <f t="shared" si="26"/>
        <v>0.24568655643421999</v>
      </c>
    </row>
    <row r="95" ht="15">
      <c r="A95" s="2" t="s">
        <v>230</v>
      </c>
      <c r="B95" s="2" t="s">
        <v>70</v>
      </c>
      <c r="C95" s="2">
        <v>102.14</v>
      </c>
      <c r="D95" s="2">
        <v>122.97</v>
      </c>
      <c r="E95" s="2">
        <v>101.53</v>
      </c>
      <c r="F95" s="2">
        <v>65.049999999999997</v>
      </c>
      <c r="G95" s="2">
        <v>73.590000000000003</v>
      </c>
      <c r="H95" s="2">
        <v>78</v>
      </c>
      <c r="I95" s="2">
        <v>67.340000000000003</v>
      </c>
      <c r="J95" s="2">
        <v>82.530000000000001</v>
      </c>
      <c r="K95" s="2">
        <v>109.84999999999999</v>
      </c>
      <c r="L95" s="2">
        <v>121.23</v>
      </c>
      <c r="M95" s="2">
        <v>115.47</v>
      </c>
      <c r="N95" s="14">
        <f t="shared" si="24"/>
        <v>0.012342177195861601</v>
      </c>
      <c r="O95" s="14">
        <f>(1+N95)/(1+WPI!$J$5)-1</f>
        <v>-0.017666848243272901</v>
      </c>
      <c r="P95" s="2" t="str">
        <f t="shared" si="25"/>
        <v>No</v>
      </c>
      <c r="Q95" s="14">
        <f t="shared" si="26"/>
        <v>-0.047512991833704603</v>
      </c>
    </row>
    <row r="96" ht="15">
      <c r="A96" s="2" t="s">
        <v>231</v>
      </c>
      <c r="B96" s="2" t="s">
        <v>71</v>
      </c>
      <c r="C96" s="2">
        <v>200.5</v>
      </c>
      <c r="D96" s="2">
        <v>182.84</v>
      </c>
      <c r="E96" s="2">
        <v>203.63999999999999</v>
      </c>
      <c r="F96" s="2">
        <v>246.99000000000001</v>
      </c>
      <c r="G96" s="2">
        <v>289</v>
      </c>
      <c r="H96" s="2">
        <v>338.61000000000001</v>
      </c>
      <c r="I96" s="2">
        <v>502.43000000000001</v>
      </c>
      <c r="J96" s="2">
        <v>555.97000000000003</v>
      </c>
      <c r="K96" s="2">
        <v>386.30000000000001</v>
      </c>
      <c r="L96" s="2">
        <v>583.99000000000001</v>
      </c>
      <c r="M96" s="2">
        <v>605.64999999999998</v>
      </c>
      <c r="N96" s="14">
        <f t="shared" si="24"/>
        <v>0.11689085363945</v>
      </c>
      <c r="O96" s="14">
        <f>(1+N96)/(1+WPI!$J$5)-1</f>
        <v>0.083782674612036007</v>
      </c>
      <c r="P96" s="2" t="str">
        <f t="shared" si="25"/>
        <v>Yes</v>
      </c>
      <c r="Q96" s="14">
        <f t="shared" si="26"/>
        <v>0.037089676193085501</v>
      </c>
    </row>
    <row r="97" ht="15">
      <c r="A97" s="2" t="s">
        <v>232</v>
      </c>
      <c r="B97" s="2" t="s">
        <v>70</v>
      </c>
      <c r="C97" s="2">
        <v>41.43</v>
      </c>
      <c r="D97" s="2">
        <v>51.549999999999997</v>
      </c>
      <c r="E97" s="2">
        <v>52.649999999999999</v>
      </c>
      <c r="F97" s="2">
        <v>69.909999999999997</v>
      </c>
      <c r="G97" s="2">
        <v>79.859999999999999</v>
      </c>
      <c r="H97" s="2">
        <v>108.55</v>
      </c>
      <c r="I97" s="2">
        <v>96.379999999999995</v>
      </c>
      <c r="J97" s="2">
        <v>105.88</v>
      </c>
      <c r="K97" s="2">
        <v>116.61</v>
      </c>
      <c r="L97" s="2">
        <v>153.69999999999999</v>
      </c>
      <c r="M97" s="2">
        <v>203.28999999999999</v>
      </c>
      <c r="N97" s="14">
        <f t="shared" si="24"/>
        <v>0.17241160405028799</v>
      </c>
      <c r="O97" s="14">
        <f>(1+N97)/(1+WPI!$J$5)-1</f>
        <v>0.13765761429897999</v>
      </c>
      <c r="P97" s="2" t="str">
        <f t="shared" si="25"/>
        <v>Yes</v>
      </c>
      <c r="Q97" s="14">
        <f t="shared" si="26"/>
        <v>0.32264150943396203</v>
      </c>
    </row>
    <row r="98" ht="15">
      <c r="A98" s="2" t="s">
        <v>233</v>
      </c>
      <c r="B98" s="2" t="s">
        <v>71</v>
      </c>
      <c r="C98" s="2">
        <v>168.25</v>
      </c>
      <c r="D98" s="2">
        <v>152.56</v>
      </c>
      <c r="E98" s="2">
        <v>198.63999999999999</v>
      </c>
      <c r="F98" s="2">
        <v>224.83000000000001</v>
      </c>
      <c r="G98" s="2">
        <v>242.19999999999999</v>
      </c>
      <c r="H98" s="2">
        <v>257.5</v>
      </c>
      <c r="I98" s="2">
        <v>320.5</v>
      </c>
      <c r="J98" s="2">
        <v>387.57999999999998</v>
      </c>
      <c r="K98" s="2">
        <v>387.89999999999998</v>
      </c>
      <c r="L98" s="2">
        <v>530.20000000000005</v>
      </c>
      <c r="M98" s="2">
        <v>649.74000000000001</v>
      </c>
      <c r="N98" s="14">
        <f t="shared" si="24"/>
        <v>0.144665130098273</v>
      </c>
      <c r="O98" s="14">
        <f>(1+N98)/(1+WPI!$J$5)-1</f>
        <v>0.11073363363177401</v>
      </c>
      <c r="P98" s="2" t="str">
        <f t="shared" si="25"/>
        <v>Yes</v>
      </c>
      <c r="Q98" s="14">
        <f t="shared" si="26"/>
        <v>0.225462089777442</v>
      </c>
    </row>
    <row r="99" ht="15">
      <c r="A99" s="2" t="s">
        <v>234</v>
      </c>
      <c r="B99" s="2" t="s">
        <v>69</v>
      </c>
      <c r="C99" s="2">
        <v>22.190000000000001</v>
      </c>
      <c r="D99" s="2">
        <v>29.890000000000001</v>
      </c>
      <c r="E99" s="2">
        <v>43.810000000000002</v>
      </c>
      <c r="F99" s="2">
        <v>45.799999999999997</v>
      </c>
      <c r="G99" s="2">
        <v>51.780000000000001</v>
      </c>
      <c r="H99" s="2">
        <v>64.950000000000003</v>
      </c>
      <c r="I99" s="2">
        <v>81.890000000000001</v>
      </c>
      <c r="J99" s="2">
        <v>81.269999999999996</v>
      </c>
      <c r="K99" s="2">
        <v>99.599999999999994</v>
      </c>
      <c r="L99" s="2">
        <v>109.70999999999999</v>
      </c>
      <c r="M99" s="2">
        <v>133.56</v>
      </c>
      <c r="N99" s="14">
        <f t="shared" si="24"/>
        <v>0.196608024234212</v>
      </c>
      <c r="O99" s="14">
        <f>(1+N99)/(1+WPI!$J$5)-1</f>
        <v>0.161136776025051</v>
      </c>
      <c r="P99" s="2" t="str">
        <f t="shared" si="25"/>
        <v>Yes</v>
      </c>
      <c r="Q99" s="14">
        <f t="shared" si="26"/>
        <v>0.217391304347826</v>
      </c>
    </row>
    <row r="100" ht="15">
      <c r="A100" s="2" t="s">
        <v>89</v>
      </c>
      <c r="B100" s="2" t="s">
        <v>72</v>
      </c>
      <c r="C100" s="2">
        <v>1866.5799999999999</v>
      </c>
      <c r="D100" s="2">
        <v>2578.1500000000001</v>
      </c>
      <c r="E100" s="2">
        <v>3848.9899999999998</v>
      </c>
      <c r="F100" s="2">
        <v>5259.0200000000004</v>
      </c>
      <c r="G100" s="2">
        <v>6847.54</v>
      </c>
      <c r="H100" s="2">
        <v>7767.3000000000002</v>
      </c>
      <c r="I100" s="2">
        <v>8788.6800000000003</v>
      </c>
      <c r="J100" s="2">
        <v>8869.5900000000001</v>
      </c>
      <c r="K100" s="2">
        <v>9108.2099999999991</v>
      </c>
      <c r="L100" s="2">
        <v>10299.629999999999</v>
      </c>
      <c r="M100" s="2">
        <v>11609.049999999999</v>
      </c>
      <c r="N100" s="14">
        <f t="shared" ref="N100:N141" si="27">(M100/C100)^(1/10)-1</f>
        <v>0.200535501727058</v>
      </c>
      <c r="O100" s="14">
        <f>(1+N100)/(1+WPI!$J$5)-1</f>
        <v>0.16494783065747501</v>
      </c>
      <c r="P100" s="2" t="str">
        <f t="shared" ref="P100:P141" si="28">IF(O100&gt;0,"Yes","No")</f>
        <v>Yes</v>
      </c>
      <c r="Q100" s="14">
        <f t="shared" ref="Q100:Q141" si="29">M100/L100-1</f>
        <v>0.12713272224342001</v>
      </c>
    </row>
    <row r="101" ht="15">
      <c r="A101" s="2" t="s">
        <v>235</v>
      </c>
      <c r="B101" s="2" t="s">
        <v>71</v>
      </c>
      <c r="C101" s="2">
        <v>272.63999999999999</v>
      </c>
      <c r="D101" s="2">
        <v>311.50999999999999</v>
      </c>
      <c r="E101" s="2">
        <v>403.11000000000001</v>
      </c>
      <c r="F101" s="2">
        <v>509.63999999999999</v>
      </c>
      <c r="G101" s="2">
        <v>585.24000000000001</v>
      </c>
      <c r="H101" s="2">
        <v>685.99000000000001</v>
      </c>
      <c r="I101" s="2">
        <v>1031.5</v>
      </c>
      <c r="J101" s="2">
        <v>1979.5</v>
      </c>
      <c r="K101" s="2">
        <v>2067.5</v>
      </c>
      <c r="L101" s="2">
        <v>1931.7</v>
      </c>
      <c r="M101" s="2">
        <v>1587.7</v>
      </c>
      <c r="N101" s="14">
        <f t="shared" si="27"/>
        <v>0.19266338674938799</v>
      </c>
      <c r="O101" s="14">
        <f>(1+N101)/(1+WPI!$J$5)-1</f>
        <v>0.15730907007710901</v>
      </c>
      <c r="P101" s="2" t="str">
        <f t="shared" si="28"/>
        <v>Yes</v>
      </c>
      <c r="Q101" s="14">
        <f t="shared" si="29"/>
        <v>-0.17808148263187901</v>
      </c>
    </row>
    <row r="102" ht="15">
      <c r="A102" s="2" t="s">
        <v>104</v>
      </c>
      <c r="B102" s="2" t="s">
        <v>72</v>
      </c>
      <c r="C102" s="2">
        <v>806.57000000000005</v>
      </c>
      <c r="D102" s="2">
        <v>1022.8</v>
      </c>
      <c r="E102" s="2">
        <v>1265.6400000000001</v>
      </c>
      <c r="F102" s="2">
        <v>1602.0899999999999</v>
      </c>
      <c r="G102" s="2">
        <v>1645.3199999999999</v>
      </c>
      <c r="H102" s="2">
        <v>1678.0599999999999</v>
      </c>
      <c r="I102" s="2">
        <v>1732.78</v>
      </c>
      <c r="J102" s="2">
        <v>1724.95</v>
      </c>
      <c r="K102" s="2">
        <v>2070.3000000000002</v>
      </c>
      <c r="L102" s="2">
        <v>3062.5799999999999</v>
      </c>
      <c r="M102" s="2">
        <v>2606.6399999999999</v>
      </c>
      <c r="N102" s="14">
        <f t="shared" si="27"/>
        <v>0.12445971009779901</v>
      </c>
      <c r="O102" s="14">
        <f>(1+N102)/(1+WPI!$J$5)-1</f>
        <v>0.091127166215180203</v>
      </c>
      <c r="P102" s="2" t="str">
        <f t="shared" si="28"/>
        <v>Yes</v>
      </c>
      <c r="Q102" s="14">
        <f t="shared" si="29"/>
        <v>-0.14887447838097301</v>
      </c>
    </row>
    <row r="103" ht="15">
      <c r="A103" s="2" t="s">
        <v>236</v>
      </c>
      <c r="B103" s="2" t="s">
        <v>71</v>
      </c>
      <c r="C103" s="2">
        <v>281.25</v>
      </c>
      <c r="D103" s="2">
        <v>401.75999999999999</v>
      </c>
      <c r="E103" s="2">
        <v>454.05000000000001</v>
      </c>
      <c r="F103" s="2">
        <v>467.24000000000001</v>
      </c>
      <c r="G103" s="2">
        <v>462.88999999999999</v>
      </c>
      <c r="H103" s="2">
        <v>452.22000000000003</v>
      </c>
      <c r="I103" s="2">
        <v>493.27999999999997</v>
      </c>
      <c r="J103" s="2">
        <v>565.82000000000005</v>
      </c>
      <c r="K103" s="2">
        <v>489.89999999999998</v>
      </c>
      <c r="L103" s="2">
        <v>622.75</v>
      </c>
      <c r="M103" s="2">
        <v>708.98000000000002</v>
      </c>
      <c r="N103" s="14">
        <f t="shared" si="27"/>
        <v>0.096867441147808306</v>
      </c>
      <c r="O103" s="14">
        <f>(1+N103)/(1+WPI!$J$5)-1</f>
        <v>0.064352819425795002</v>
      </c>
      <c r="P103" s="2" t="str">
        <f t="shared" si="28"/>
        <v>Yes</v>
      </c>
      <c r="Q103" s="14">
        <f t="shared" si="29"/>
        <v>0.13846647932557199</v>
      </c>
    </row>
    <row r="104" ht="15">
      <c r="A104" s="2" t="s">
        <v>237</v>
      </c>
      <c r="B104" s="2" t="s">
        <v>72</v>
      </c>
      <c r="C104" s="2">
        <v>1216.1099999999999</v>
      </c>
      <c r="D104" s="2">
        <v>1579.46</v>
      </c>
      <c r="E104" s="2">
        <v>1626.4400000000001</v>
      </c>
      <c r="F104" s="2">
        <v>1861.26</v>
      </c>
      <c r="G104" s="2">
        <v>1861.26</v>
      </c>
      <c r="H104" s="2">
        <v>1722.1099999999999</v>
      </c>
      <c r="I104" s="2">
        <v>876.65999999999997</v>
      </c>
      <c r="J104" s="2">
        <v>690.98000000000002</v>
      </c>
      <c r="K104" s="2">
        <v>633.11000000000001</v>
      </c>
      <c r="L104" s="2">
        <v>535.86000000000001</v>
      </c>
      <c r="M104" s="2">
        <v>461.73000000000002</v>
      </c>
      <c r="N104" s="14">
        <f t="shared" si="27"/>
        <v>-0.092301697379766803</v>
      </c>
      <c r="O104" s="14">
        <f>(1+N104)/(1+WPI!$J$5)-1</f>
        <v>-0.11920874725675699</v>
      </c>
      <c r="P104" s="2" t="str">
        <f t="shared" si="28"/>
        <v>No</v>
      </c>
      <c r="Q104" s="14">
        <f t="shared" si="29"/>
        <v>-0.138338371962826</v>
      </c>
    </row>
    <row r="105" ht="15">
      <c r="A105" s="2" t="s">
        <v>238</v>
      </c>
      <c r="B105" s="2" t="s">
        <v>72</v>
      </c>
      <c r="C105" s="2">
        <v>877.76999999999998</v>
      </c>
      <c r="D105" s="2">
        <v>1078.2</v>
      </c>
      <c r="E105" s="2">
        <v>630.32000000000005</v>
      </c>
      <c r="F105" s="2">
        <v>461.16000000000003</v>
      </c>
      <c r="G105" s="2">
        <v>410.94999999999999</v>
      </c>
      <c r="H105" s="2">
        <v>588.72000000000003</v>
      </c>
      <c r="I105" s="2">
        <v>558.57000000000005</v>
      </c>
      <c r="J105" s="2">
        <v>469.85000000000002</v>
      </c>
      <c r="K105" s="2">
        <v>181.84</v>
      </c>
      <c r="L105" s="2">
        <v>95.730000000000004</v>
      </c>
      <c r="M105" s="2">
        <v>137.49000000000001</v>
      </c>
      <c r="N105" s="14">
        <f t="shared" si="27"/>
        <v>-0.169214251697551</v>
      </c>
      <c r="O105" s="14">
        <f>(1+N105)/(1+WPI!$J$5)-1</f>
        <v>-0.19384137009376001</v>
      </c>
      <c r="P105" s="2" t="str">
        <f t="shared" si="28"/>
        <v>No</v>
      </c>
      <c r="Q105" s="14">
        <f t="shared" si="29"/>
        <v>0.43622688812284599</v>
      </c>
    </row>
    <row r="106" ht="15">
      <c r="A106" s="2" t="s">
        <v>239</v>
      </c>
      <c r="B106" s="2" t="s">
        <v>71</v>
      </c>
      <c r="C106" s="2">
        <v>299.33999999999997</v>
      </c>
      <c r="D106" s="2">
        <v>379.86000000000001</v>
      </c>
      <c r="E106" s="2">
        <v>218.83000000000001</v>
      </c>
      <c r="F106" s="2">
        <v>180.28999999999999</v>
      </c>
      <c r="G106" s="2">
        <v>180.12</v>
      </c>
      <c r="H106" s="2">
        <v>172.83000000000001</v>
      </c>
      <c r="I106" s="2">
        <v>139.28999999999999</v>
      </c>
      <c r="J106" s="2">
        <v>34.649999999999999</v>
      </c>
      <c r="K106" s="2">
        <v>13.359999999999999</v>
      </c>
      <c r="L106" s="2">
        <v>12.07</v>
      </c>
      <c r="M106" s="2">
        <v>7.3099999999999996</v>
      </c>
      <c r="N106" s="14">
        <f t="shared" si="27"/>
        <v>-0.310117287507232</v>
      </c>
      <c r="O106" s="14">
        <f>(1+N106)/(1+WPI!$J$5)-1</f>
        <v>-0.33056759406914998</v>
      </c>
      <c r="P106" s="2" t="str">
        <f t="shared" si="28"/>
        <v>No</v>
      </c>
      <c r="Q106" s="14">
        <f t="shared" si="29"/>
        <v>-0.39436619718309901</v>
      </c>
    </row>
    <row r="107" ht="15">
      <c r="A107" s="2" t="s">
        <v>240</v>
      </c>
      <c r="B107" s="2" t="s">
        <v>70</v>
      </c>
      <c r="C107" s="2">
        <v>101.56999999999999</v>
      </c>
      <c r="D107" s="2">
        <v>56.420000000000002</v>
      </c>
      <c r="E107" s="2">
        <v>89.810000000000002</v>
      </c>
      <c r="F107" s="2">
        <v>109.86</v>
      </c>
      <c r="G107" s="2">
        <v>173.19999999999999</v>
      </c>
      <c r="H107" s="2">
        <v>196.53999999999999</v>
      </c>
      <c r="I107" s="2">
        <v>208.88</v>
      </c>
      <c r="J107" s="2">
        <v>255.00999999999999</v>
      </c>
      <c r="K107" s="2">
        <v>311.75999999999999</v>
      </c>
      <c r="L107" s="2">
        <v>347.36000000000001</v>
      </c>
      <c r="M107" s="2">
        <v>355.25</v>
      </c>
      <c r="N107" s="14">
        <f t="shared" si="27"/>
        <v>0.13338344154273801</v>
      </c>
      <c r="O107" s="14">
        <f>(1+N107)/(1+WPI!$J$5)-1</f>
        <v>0.099786370023145193</v>
      </c>
      <c r="P107" s="2" t="str">
        <f t="shared" si="28"/>
        <v>Yes</v>
      </c>
      <c r="Q107" s="14">
        <f t="shared" si="29"/>
        <v>0.022714187010594199</v>
      </c>
    </row>
    <row r="108" ht="15">
      <c r="A108" s="2" t="s">
        <v>241</v>
      </c>
      <c r="B108" s="2" t="s">
        <v>72</v>
      </c>
      <c r="C108" s="2">
        <v>625.55999999999995</v>
      </c>
      <c r="D108" s="2">
        <v>703.78999999999996</v>
      </c>
      <c r="E108" s="2">
        <v>924.88</v>
      </c>
      <c r="F108" s="2">
        <v>995.09000000000003</v>
      </c>
      <c r="G108" s="2">
        <v>1057.4300000000001</v>
      </c>
      <c r="H108" s="2">
        <v>1216.5799999999999</v>
      </c>
      <c r="I108" s="2">
        <v>2071.5999999999999</v>
      </c>
      <c r="J108" s="2">
        <v>2017.26</v>
      </c>
      <c r="K108" s="2">
        <v>1092.55</v>
      </c>
      <c r="L108" s="2">
        <v>1119.0799999999999</v>
      </c>
      <c r="M108" s="2">
        <v>1100.8299999999999</v>
      </c>
      <c r="N108" s="14">
        <f t="shared" si="27"/>
        <v>0.058144864588663303</v>
      </c>
      <c r="O108" s="14">
        <f>(1+N108)/(1+WPI!$J$5)-1</f>
        <v>0.0267781025639027</v>
      </c>
      <c r="P108" s="2" t="str">
        <f t="shared" si="28"/>
        <v>Yes</v>
      </c>
      <c r="Q108" s="14">
        <f t="shared" si="29"/>
        <v>-0.016308038746112901</v>
      </c>
    </row>
    <row r="109" ht="15">
      <c r="A109" s="2" t="s">
        <v>242</v>
      </c>
      <c r="B109" s="2" t="s">
        <v>71</v>
      </c>
      <c r="C109" s="2">
        <v>162.34</v>
      </c>
      <c r="D109" s="2">
        <v>186.03</v>
      </c>
      <c r="E109" s="2">
        <v>193.13999999999999</v>
      </c>
      <c r="F109" s="2">
        <v>224.02000000000001</v>
      </c>
      <c r="G109" s="2">
        <v>238.38</v>
      </c>
      <c r="H109" s="2">
        <v>242.5</v>
      </c>
      <c r="I109" s="2">
        <v>284.00999999999999</v>
      </c>
      <c r="J109" s="2">
        <v>300.13</v>
      </c>
      <c r="K109" s="2">
        <v>339.70999999999998</v>
      </c>
      <c r="L109" s="2">
        <v>323.82999999999998</v>
      </c>
      <c r="M109" s="2">
        <v>369.13999999999999</v>
      </c>
      <c r="N109" s="14">
        <f t="shared" si="27"/>
        <v>0.085616802955743601</v>
      </c>
      <c r="O109" s="14">
        <f>(1+N109)/(1+WPI!$J$5)-1</f>
        <v>0.053435685749611703</v>
      </c>
      <c r="P109" s="2" t="str">
        <f t="shared" si="28"/>
        <v>Yes</v>
      </c>
      <c r="Q109" s="14">
        <f t="shared" si="29"/>
        <v>0.13991909335145</v>
      </c>
    </row>
    <row r="110" ht="15">
      <c r="A110" s="2" t="s">
        <v>243</v>
      </c>
      <c r="B110" s="2" t="s">
        <v>70</v>
      </c>
      <c r="C110" s="2">
        <v>62.350000000000001</v>
      </c>
      <c r="D110" s="2">
        <v>131.47</v>
      </c>
      <c r="E110" s="2">
        <v>128.19</v>
      </c>
      <c r="F110" s="2">
        <v>121.02</v>
      </c>
      <c r="G110" s="2">
        <v>137.24000000000001</v>
      </c>
      <c r="H110" s="2">
        <v>169.22999999999999</v>
      </c>
      <c r="I110" s="2">
        <v>193.28</v>
      </c>
      <c r="J110" s="2">
        <v>240.69999999999999</v>
      </c>
      <c r="K110" s="2">
        <v>298.62</v>
      </c>
      <c r="L110" s="2">
        <v>513.13</v>
      </c>
      <c r="M110" s="2">
        <v>598.16999999999996</v>
      </c>
      <c r="N110" s="14">
        <f t="shared" si="27"/>
        <v>0.253714985686325</v>
      </c>
      <c r="O110" s="14">
        <f>(1+N110)/(1+WPI!$J$5)-1</f>
        <v>0.21655090643883301</v>
      </c>
      <c r="P110" s="2" t="str">
        <f t="shared" si="28"/>
        <v>Yes</v>
      </c>
      <c r="Q110" s="14">
        <f t="shared" si="29"/>
        <v>0.165727983162162</v>
      </c>
    </row>
    <row r="111" ht="15">
      <c r="A111" s="2" t="s">
        <v>244</v>
      </c>
      <c r="B111" s="2" t="s">
        <v>71</v>
      </c>
      <c r="C111" s="2">
        <v>233.63</v>
      </c>
      <c r="D111" s="2">
        <v>244.59999999999999</v>
      </c>
      <c r="E111" s="2">
        <v>222.75999999999999</v>
      </c>
      <c r="F111" s="2">
        <v>250.06</v>
      </c>
      <c r="G111" s="2">
        <v>500.47000000000003</v>
      </c>
      <c r="H111" s="2">
        <v>555.59000000000003</v>
      </c>
      <c r="I111" s="2">
        <v>580.11000000000001</v>
      </c>
      <c r="J111" s="2">
        <v>412.02999999999997</v>
      </c>
      <c r="K111" s="2">
        <v>436.60000000000002</v>
      </c>
      <c r="L111" s="2">
        <v>448.13</v>
      </c>
      <c r="M111" s="2">
        <v>433.07999999999998</v>
      </c>
      <c r="N111" s="14">
        <f t="shared" si="27"/>
        <v>0.063662753954423001</v>
      </c>
      <c r="O111" s="14">
        <f>(1+N111)/(1+WPI!$J$5)-1</f>
        <v>0.032132424228861603</v>
      </c>
      <c r="P111" s="2" t="str">
        <f t="shared" si="28"/>
        <v>Yes</v>
      </c>
      <c r="Q111" s="14">
        <f t="shared" si="29"/>
        <v>-0.033584004641510297</v>
      </c>
    </row>
    <row r="112" ht="15">
      <c r="A112" s="2" t="s">
        <v>245</v>
      </c>
      <c r="B112" s="2" t="s">
        <v>70</v>
      </c>
      <c r="C112" s="2">
        <v>47.969999999999999</v>
      </c>
      <c r="D112" s="2">
        <v>47.549999999999997</v>
      </c>
      <c r="E112" s="2">
        <v>75.060000000000002</v>
      </c>
      <c r="F112" s="2">
        <v>78.280000000000001</v>
      </c>
      <c r="G112" s="2">
        <v>71.409999999999997</v>
      </c>
      <c r="H112" s="2">
        <v>47.340000000000003</v>
      </c>
      <c r="I112" s="2">
        <v>68.170000000000002</v>
      </c>
      <c r="J112" s="2">
        <v>78.590000000000003</v>
      </c>
      <c r="K112" s="2">
        <v>105.27</v>
      </c>
      <c r="L112" s="2">
        <v>125.33</v>
      </c>
      <c r="M112" s="2">
        <v>157.06999999999999</v>
      </c>
      <c r="N112" s="14">
        <f t="shared" si="27"/>
        <v>0.125932493050189</v>
      </c>
      <c r="O112" s="14">
        <f>(1+N112)/(1+WPI!$J$5)-1</f>
        <v>0.092556291220602799</v>
      </c>
      <c r="P112" s="2" t="str">
        <f t="shared" si="28"/>
        <v>Yes</v>
      </c>
      <c r="Q112" s="14">
        <f t="shared" si="29"/>
        <v>0.25325141626107101</v>
      </c>
    </row>
    <row r="113" ht="15">
      <c r="A113" s="2" t="s">
        <v>102</v>
      </c>
      <c r="B113" s="2" t="s">
        <v>72</v>
      </c>
      <c r="C113" s="2">
        <v>934.04999999999995</v>
      </c>
      <c r="D113" s="2">
        <v>1027.5</v>
      </c>
      <c r="E113" s="2">
        <v>1258.6099999999999</v>
      </c>
      <c r="F113" s="2">
        <v>1533.6300000000001</v>
      </c>
      <c r="G113" s="2">
        <v>1752.45</v>
      </c>
      <c r="H113" s="2">
        <v>1923.04</v>
      </c>
      <c r="I113" s="2">
        <v>2099.04</v>
      </c>
      <c r="J113" s="2">
        <v>2257.3000000000002</v>
      </c>
      <c r="K113" s="2">
        <v>2326.8000000000002</v>
      </c>
      <c r="L113" s="2">
        <v>2594</v>
      </c>
      <c r="M113" s="2">
        <v>2842.6999999999998</v>
      </c>
      <c r="N113" s="14">
        <f t="shared" si="27"/>
        <v>0.117727896985186</v>
      </c>
      <c r="O113" s="14">
        <f>(1+N113)/(1+WPI!$J$5)-1</f>
        <v>0.084594905344387294</v>
      </c>
      <c r="P113" s="2" t="str">
        <f t="shared" si="28"/>
        <v>Yes</v>
      </c>
      <c r="Q113" s="14">
        <f t="shared" si="29"/>
        <v>0.095875096376252897</v>
      </c>
    </row>
    <row r="114" ht="15">
      <c r="A114" s="2" t="s">
        <v>246</v>
      </c>
      <c r="B114" s="2" t="s">
        <v>71</v>
      </c>
      <c r="C114" s="2">
        <v>116.87</v>
      </c>
      <c r="D114" s="2">
        <v>144.02000000000001</v>
      </c>
      <c r="E114" s="2">
        <v>177.25</v>
      </c>
      <c r="F114" s="2">
        <v>225.63999999999999</v>
      </c>
      <c r="G114" s="2">
        <v>296.61000000000001</v>
      </c>
      <c r="H114" s="2">
        <v>338.48000000000002</v>
      </c>
      <c r="I114" s="2">
        <v>356.38</v>
      </c>
      <c r="J114" s="2">
        <v>370.25999999999999</v>
      </c>
      <c r="K114" s="2">
        <v>357.57999999999998</v>
      </c>
      <c r="L114" s="2">
        <v>299.00999999999999</v>
      </c>
      <c r="M114" s="2">
        <v>293.24000000000001</v>
      </c>
      <c r="N114" s="14">
        <f t="shared" si="27"/>
        <v>0.096357057697626702</v>
      </c>
      <c r="O114" s="14">
        <f>(1+N114)/(1+WPI!$J$5)-1</f>
        <v>0.063857565356059104</v>
      </c>
      <c r="P114" s="2" t="str">
        <f t="shared" si="28"/>
        <v>Yes</v>
      </c>
      <c r="Q114" s="14">
        <f t="shared" si="29"/>
        <v>-0.019297013477810099</v>
      </c>
    </row>
    <row r="115" ht="15">
      <c r="A115" s="2" t="s">
        <v>99</v>
      </c>
      <c r="B115" s="2" t="s">
        <v>72</v>
      </c>
      <c r="C115" s="2">
        <v>566.89999999999998</v>
      </c>
      <c r="D115" s="2">
        <v>905.07000000000005</v>
      </c>
      <c r="E115" s="2">
        <v>1667.72</v>
      </c>
      <c r="F115" s="2">
        <v>2464.6500000000001</v>
      </c>
      <c r="G115" s="2">
        <v>3343.1199999999999</v>
      </c>
      <c r="H115" s="2">
        <v>3540.9299999999998</v>
      </c>
      <c r="I115" s="2">
        <v>4160</v>
      </c>
      <c r="J115" s="2">
        <v>3729</v>
      </c>
      <c r="K115" s="2">
        <v>3862</v>
      </c>
      <c r="L115" s="2">
        <v>4820</v>
      </c>
      <c r="M115" s="2">
        <v>4836</v>
      </c>
      <c r="N115" s="14">
        <f t="shared" si="27"/>
        <v>0.23907610963901499</v>
      </c>
      <c r="O115" s="14">
        <f>(1+N115)/(1+WPI!$J$5)-1</f>
        <v>0.20234597299867699</v>
      </c>
      <c r="P115" s="2" t="str">
        <f t="shared" si="28"/>
        <v>Yes</v>
      </c>
      <c r="Q115" s="14">
        <f t="shared" si="29"/>
        <v>0.0033195020746887901</v>
      </c>
    </row>
    <row r="116" ht="15">
      <c r="A116" s="2" t="s">
        <v>247</v>
      </c>
      <c r="B116" s="2" t="s">
        <v>71</v>
      </c>
      <c r="C116" s="2">
        <v>237.43000000000001</v>
      </c>
      <c r="D116" s="2">
        <v>261.11000000000001</v>
      </c>
      <c r="E116" s="2">
        <v>275.36000000000001</v>
      </c>
      <c r="F116" s="2">
        <v>328.70999999999998</v>
      </c>
      <c r="G116" s="2">
        <v>501.58999999999997</v>
      </c>
      <c r="H116" s="2">
        <v>526.96000000000004</v>
      </c>
      <c r="I116" s="2">
        <v>587.36000000000001</v>
      </c>
      <c r="J116" s="2">
        <v>660.63999999999999</v>
      </c>
      <c r="K116" s="2">
        <v>674.37</v>
      </c>
      <c r="L116" s="2">
        <v>608</v>
      </c>
      <c r="M116" s="2">
        <v>692.95000000000005</v>
      </c>
      <c r="N116" s="14">
        <f t="shared" si="27"/>
        <v>0.113055014767208</v>
      </c>
      <c r="O116" s="14">
        <f>(1+N116)/(1+WPI!$J$5)-1</f>
        <v>0.080060542141532798</v>
      </c>
      <c r="P116" s="2" t="str">
        <f t="shared" si="28"/>
        <v>Yes</v>
      </c>
      <c r="Q116" s="14">
        <f t="shared" si="29"/>
        <v>0.139720394736842</v>
      </c>
    </row>
    <row r="117" ht="15">
      <c r="A117" s="2" t="s">
        <v>248</v>
      </c>
      <c r="B117" s="2" t="s">
        <v>69</v>
      </c>
      <c r="C117" s="2">
        <v>32.840000000000003</v>
      </c>
      <c r="D117" s="2">
        <v>42.520000000000003</v>
      </c>
      <c r="E117" s="2">
        <v>50.32</v>
      </c>
      <c r="F117" s="2">
        <v>58.340000000000003</v>
      </c>
      <c r="G117" s="2">
        <v>67.349999999999994</v>
      </c>
      <c r="H117" s="2">
        <v>62.210000000000001</v>
      </c>
      <c r="I117" s="2">
        <v>66.840000000000003</v>
      </c>
      <c r="J117" s="2">
        <v>70.219999999999999</v>
      </c>
      <c r="K117" s="2">
        <v>64.409999999999997</v>
      </c>
      <c r="L117" s="2">
        <v>81.790000000000006</v>
      </c>
      <c r="M117" s="2">
        <v>86.959999999999994</v>
      </c>
      <c r="N117" s="14">
        <f t="shared" si="27"/>
        <v>0.102279265750944</v>
      </c>
      <c r="O117" s="14">
        <f>(1+N117)/(1+WPI!$J$5)-1</f>
        <v>0.069604220423310104</v>
      </c>
      <c r="P117" s="2" t="str">
        <f t="shared" si="28"/>
        <v>Yes</v>
      </c>
      <c r="Q117" s="14">
        <f t="shared" si="29"/>
        <v>0.063210661450054897</v>
      </c>
    </row>
    <row r="118" ht="15">
      <c r="A118" s="2" t="s">
        <v>249</v>
      </c>
      <c r="B118" s="2" t="s">
        <v>70</v>
      </c>
      <c r="C118" s="2">
        <v>100.23999999999999</v>
      </c>
      <c r="D118" s="2">
        <v>137.13</v>
      </c>
      <c r="E118" s="2">
        <v>169.09999999999999</v>
      </c>
      <c r="F118" s="2">
        <v>209.25999999999999</v>
      </c>
      <c r="G118" s="2">
        <v>264.68000000000001</v>
      </c>
      <c r="H118" s="2">
        <v>300.91000000000003</v>
      </c>
      <c r="I118" s="2">
        <v>324.05000000000001</v>
      </c>
      <c r="J118" s="2">
        <v>334.95999999999998</v>
      </c>
      <c r="K118" s="2">
        <v>402.75999999999999</v>
      </c>
      <c r="L118" s="2">
        <v>580.10000000000002</v>
      </c>
      <c r="M118" s="2">
        <v>617.92999999999995</v>
      </c>
      <c r="N118" s="14">
        <f t="shared" si="27"/>
        <v>0.19947119301836999</v>
      </c>
      <c r="O118" s="14">
        <f>(1+N118)/(1+WPI!$J$5)-1</f>
        <v>0.16391507142665501</v>
      </c>
      <c r="P118" s="2" t="str">
        <f t="shared" si="28"/>
        <v>Yes</v>
      </c>
      <c r="Q118" s="14">
        <f t="shared" si="29"/>
        <v>0.065212894328563906</v>
      </c>
    </row>
    <row r="119" ht="15">
      <c r="A119" s="2" t="s">
        <v>250</v>
      </c>
      <c r="B119" s="2" t="s">
        <v>71</v>
      </c>
      <c r="C119" s="2">
        <v>124.92</v>
      </c>
      <c r="D119" s="2">
        <v>106.20999999999999</v>
      </c>
      <c r="E119" s="2">
        <v>142.97999999999999</v>
      </c>
      <c r="F119" s="2">
        <v>181.19999999999999</v>
      </c>
      <c r="G119" s="2">
        <v>187.34</v>
      </c>
      <c r="H119" s="2">
        <v>187.77000000000001</v>
      </c>
      <c r="I119" s="2">
        <v>191.59999999999999</v>
      </c>
      <c r="J119" s="2">
        <v>166.08000000000001</v>
      </c>
      <c r="K119" s="2">
        <v>214.69</v>
      </c>
      <c r="L119" s="2">
        <v>280.31999999999999</v>
      </c>
      <c r="M119" s="2">
        <v>238.94999999999999</v>
      </c>
      <c r="N119" s="14">
        <f t="shared" si="27"/>
        <v>0.067007583133326998</v>
      </c>
      <c r="O119" s="14">
        <f>(1+N119)/(1+WPI!$J$5)-1</f>
        <v>0.035378102087016298</v>
      </c>
      <c r="P119" s="2" t="str">
        <f t="shared" si="28"/>
        <v>Yes</v>
      </c>
      <c r="Q119" s="14">
        <f t="shared" si="29"/>
        <v>-0.14758133561643799</v>
      </c>
    </row>
    <row r="120" ht="15">
      <c r="A120" s="2" t="s">
        <v>251</v>
      </c>
      <c r="B120" s="2" t="s">
        <v>69</v>
      </c>
      <c r="C120" s="2">
        <v>11.07</v>
      </c>
      <c r="D120" s="2">
        <v>10.82</v>
      </c>
      <c r="E120" s="2">
        <v>15.15</v>
      </c>
      <c r="F120" s="2">
        <v>12.779999999999999</v>
      </c>
      <c r="G120" s="2">
        <v>18.350000000000001</v>
      </c>
      <c r="H120" s="2">
        <v>16.5</v>
      </c>
      <c r="I120" s="2">
        <v>15.52</v>
      </c>
      <c r="J120" s="2">
        <v>19.859999999999999</v>
      </c>
      <c r="K120" s="2">
        <v>27.260000000000002</v>
      </c>
      <c r="L120" s="2">
        <v>35.310000000000002</v>
      </c>
      <c r="M120" s="2">
        <v>58.43</v>
      </c>
      <c r="N120" s="14">
        <f t="shared" si="27"/>
        <v>0.18099708738520001</v>
      </c>
      <c r="O120" s="14">
        <f>(1+N120)/(1+WPI!$J$5)-1</f>
        <v>0.14598859674120099</v>
      </c>
      <c r="P120" s="2" t="str">
        <f t="shared" si="28"/>
        <v>Yes</v>
      </c>
      <c r="Q120" s="14">
        <f t="shared" si="29"/>
        <v>0.65477201925799999</v>
      </c>
    </row>
    <row r="121" ht="15">
      <c r="A121" s="2" t="s">
        <v>252</v>
      </c>
      <c r="B121" s="2" t="s">
        <v>70</v>
      </c>
      <c r="C121" s="2">
        <v>59.759999999999998</v>
      </c>
      <c r="D121" s="2">
        <v>55.759999999999998</v>
      </c>
      <c r="E121" s="2">
        <v>81.950000000000003</v>
      </c>
      <c r="F121" s="2">
        <v>159</v>
      </c>
      <c r="G121" s="2">
        <v>181.55000000000001</v>
      </c>
      <c r="H121" s="2">
        <v>210.25</v>
      </c>
      <c r="I121" s="2">
        <v>198.41999999999999</v>
      </c>
      <c r="J121" s="2">
        <v>136.97</v>
      </c>
      <c r="K121" s="2">
        <v>162.58000000000001</v>
      </c>
      <c r="L121" s="2">
        <v>165.03</v>
      </c>
      <c r="M121" s="2">
        <v>131.74000000000001</v>
      </c>
      <c r="N121" s="14">
        <f t="shared" si="27"/>
        <v>0.082257756404070306</v>
      </c>
      <c r="O121" s="14">
        <f>(1+N121)/(1+WPI!$J$5)-1</f>
        <v>0.050176211966603997</v>
      </c>
      <c r="P121" s="2" t="str">
        <f t="shared" si="28"/>
        <v>Yes</v>
      </c>
      <c r="Q121" s="14">
        <f t="shared" si="29"/>
        <v>-0.20172089923044301</v>
      </c>
    </row>
    <row r="122" ht="15">
      <c r="A122" s="2" t="s">
        <v>253</v>
      </c>
      <c r="B122" s="2" t="s">
        <v>72</v>
      </c>
      <c r="C122" s="2">
        <v>574.88</v>
      </c>
      <c r="D122" s="2">
        <v>325.05000000000001</v>
      </c>
      <c r="E122" s="2">
        <v>490.13</v>
      </c>
      <c r="F122" s="2">
        <v>458.82999999999998</v>
      </c>
      <c r="G122" s="2">
        <v>818.51999999999998</v>
      </c>
      <c r="H122" s="2">
        <v>756.92999999999995</v>
      </c>
      <c r="I122" s="2">
        <v>2056.2199999999998</v>
      </c>
      <c r="J122" s="2">
        <v>1260.96</v>
      </c>
      <c r="K122" s="2">
        <v>1270.9100000000001</v>
      </c>
      <c r="L122" s="2">
        <v>1356.4300000000001</v>
      </c>
      <c r="M122" s="2">
        <v>1541.0999999999999</v>
      </c>
      <c r="N122" s="14">
        <f t="shared" si="27"/>
        <v>0.103634738471907</v>
      </c>
      <c r="O122" s="14">
        <f>(1+N122)/(1+WPI!$J$5)-1</f>
        <v>0.070919512643764698</v>
      </c>
      <c r="P122" s="2" t="str">
        <f t="shared" si="28"/>
        <v>Yes</v>
      </c>
      <c r="Q122" s="14">
        <f t="shared" si="29"/>
        <v>0.13614414308147099</v>
      </c>
    </row>
    <row r="123" ht="15">
      <c r="A123" s="2" t="s">
        <v>86</v>
      </c>
      <c r="B123" s="2" t="s">
        <v>72</v>
      </c>
      <c r="C123" s="2">
        <v>1852.8800000000001</v>
      </c>
      <c r="D123" s="2">
        <v>1985.78</v>
      </c>
      <c r="E123" s="2">
        <v>2463.0999999999999</v>
      </c>
      <c r="F123" s="2">
        <v>2329.75</v>
      </c>
      <c r="G123" s="2">
        <v>2823.77</v>
      </c>
      <c r="H123" s="2">
        <v>7882.4700000000003</v>
      </c>
      <c r="I123" s="2">
        <v>7254.0900000000001</v>
      </c>
      <c r="J123" s="2">
        <v>7509.6700000000001</v>
      </c>
      <c r="K123" s="2">
        <v>8774.4099999999999</v>
      </c>
      <c r="L123" s="2">
        <v>9783.2900000000009</v>
      </c>
      <c r="M123" s="2">
        <v>13136.030000000001</v>
      </c>
      <c r="N123" s="14">
        <f t="shared" si="27"/>
        <v>0.216358750500205</v>
      </c>
      <c r="O123" s="14">
        <f>(1+N123)/(1+WPI!$J$5)-1</f>
        <v>0.18030202826822</v>
      </c>
      <c r="P123" s="2" t="str">
        <f t="shared" si="28"/>
        <v>Yes</v>
      </c>
      <c r="Q123" s="14">
        <f t="shared" si="29"/>
        <v>0.34270066613583</v>
      </c>
    </row>
    <row r="124" ht="15">
      <c r="A124" s="2" t="s">
        <v>254</v>
      </c>
      <c r="B124" s="2" t="s">
        <v>70</v>
      </c>
      <c r="C124" s="2">
        <v>68.599999999999994</v>
      </c>
      <c r="D124" s="2">
        <v>51.380000000000003</v>
      </c>
      <c r="E124" s="2">
        <v>90.780000000000001</v>
      </c>
      <c r="F124" s="2">
        <v>74.780000000000001</v>
      </c>
      <c r="G124" s="2">
        <v>99.989999999999995</v>
      </c>
      <c r="H124" s="2">
        <v>124.7</v>
      </c>
      <c r="I124" s="2">
        <v>104.18000000000001</v>
      </c>
      <c r="J124" s="2">
        <v>110.20999999999999</v>
      </c>
      <c r="K124" s="2">
        <v>111.5</v>
      </c>
      <c r="L124" s="2">
        <v>117.36</v>
      </c>
      <c r="M124" s="2">
        <v>123.59</v>
      </c>
      <c r="N124" s="14">
        <f t="shared" si="27"/>
        <v>0.060634920157531802</v>
      </c>
      <c r="O124" s="14">
        <f>(1+N124)/(1+WPI!$J$5)-1</f>
        <v>0.029194345006543301</v>
      </c>
      <c r="P124" s="2" t="str">
        <f t="shared" si="28"/>
        <v>Yes</v>
      </c>
      <c r="Q124" s="14">
        <f t="shared" si="29"/>
        <v>0.053084526244035597</v>
      </c>
    </row>
    <row r="125" ht="15">
      <c r="A125" s="2" t="s">
        <v>255</v>
      </c>
      <c r="B125" s="2" t="s">
        <v>70</v>
      </c>
      <c r="C125" s="2">
        <v>61.68</v>
      </c>
      <c r="D125" s="2">
        <v>105.17</v>
      </c>
      <c r="E125" s="2">
        <v>151.72999999999999</v>
      </c>
      <c r="F125" s="2">
        <v>225.47999999999999</v>
      </c>
      <c r="G125" s="2">
        <v>284.77999999999997</v>
      </c>
      <c r="H125" s="2">
        <v>315.82999999999998</v>
      </c>
      <c r="I125" s="2">
        <v>345.69</v>
      </c>
      <c r="J125" s="2">
        <v>434.61000000000001</v>
      </c>
      <c r="K125" s="2">
        <v>365.48000000000002</v>
      </c>
      <c r="L125" s="2">
        <v>420.38</v>
      </c>
      <c r="M125" s="2">
        <v>444.33999999999997</v>
      </c>
      <c r="N125" s="14">
        <f t="shared" si="27"/>
        <v>0.218308024007488</v>
      </c>
      <c r="O125" s="14">
        <f>(1+N125)/(1+WPI!$J$5)-1</f>
        <v>0.18219351914075099</v>
      </c>
      <c r="P125" s="2" t="str">
        <f t="shared" si="28"/>
        <v>Yes</v>
      </c>
      <c r="Q125" s="14">
        <f t="shared" si="29"/>
        <v>0.056996051191778897</v>
      </c>
    </row>
    <row r="126" ht="15">
      <c r="A126" s="2" t="s">
        <v>256</v>
      </c>
      <c r="B126" s="2" t="s">
        <v>69</v>
      </c>
      <c r="C126" s="2">
        <v>33.549999999999997</v>
      </c>
      <c r="D126" s="2">
        <v>37.340000000000003</v>
      </c>
      <c r="E126" s="2">
        <v>47.119999999999997</v>
      </c>
      <c r="F126" s="2">
        <v>50.25</v>
      </c>
      <c r="G126" s="2">
        <v>52.780000000000001</v>
      </c>
      <c r="H126" s="2">
        <v>51.340000000000003</v>
      </c>
      <c r="I126" s="2">
        <v>61.909999999999997</v>
      </c>
      <c r="J126" s="2">
        <v>51.810000000000002</v>
      </c>
      <c r="K126" s="2">
        <v>40.880000000000003</v>
      </c>
      <c r="L126" s="2">
        <v>55.030000000000001</v>
      </c>
      <c r="M126" s="2">
        <v>18.850000000000001</v>
      </c>
      <c r="N126" s="14">
        <f t="shared" si="27"/>
        <v>-0.056021978061401002</v>
      </c>
      <c r="O126" s="14">
        <f>(1+N126)/(1+WPI!$J$5)-1</f>
        <v>-0.0840044736172081</v>
      </c>
      <c r="P126" s="2" t="str">
        <f t="shared" si="28"/>
        <v>No</v>
      </c>
      <c r="Q126" s="14">
        <f t="shared" si="29"/>
        <v>-0.65745956750863199</v>
      </c>
    </row>
    <row r="127" ht="15">
      <c r="A127" s="2" t="s">
        <v>257</v>
      </c>
      <c r="B127" s="2" t="s">
        <v>69</v>
      </c>
      <c r="C127" s="2">
        <v>12.220000000000001</v>
      </c>
      <c r="D127" s="2">
        <v>14.9</v>
      </c>
      <c r="E127" s="2">
        <v>19.670000000000002</v>
      </c>
      <c r="F127" s="2">
        <v>26.969999999999999</v>
      </c>
      <c r="G127" s="2">
        <v>40.520000000000003</v>
      </c>
      <c r="H127" s="2">
        <v>42.170000000000002</v>
      </c>
      <c r="I127" s="2">
        <v>47.829999999999998</v>
      </c>
      <c r="J127" s="2">
        <v>55.310000000000002</v>
      </c>
      <c r="K127" s="2">
        <v>55.789999999999999</v>
      </c>
      <c r="L127" s="2">
        <v>58.240000000000002</v>
      </c>
      <c r="M127" s="2">
        <v>69.480000000000004</v>
      </c>
      <c r="N127" s="14">
        <f t="shared" si="27"/>
        <v>0.18981341268062199</v>
      </c>
      <c r="O127" s="14">
        <f>(1+N127)/(1+WPI!$J$5)-1</f>
        <v>0.15454357825778101</v>
      </c>
      <c r="P127" s="2" t="str">
        <f t="shared" si="28"/>
        <v>Yes</v>
      </c>
      <c r="Q127" s="14">
        <f t="shared" si="29"/>
        <v>0.192994505494505</v>
      </c>
    </row>
    <row r="128" ht="15">
      <c r="A128" s="2" t="s">
        <v>95</v>
      </c>
      <c r="B128" s="2" t="s">
        <v>72</v>
      </c>
      <c r="C128" s="2">
        <v>1374.1500000000001</v>
      </c>
      <c r="D128" s="2">
        <v>1648.5899999999999</v>
      </c>
      <c r="E128" s="2">
        <v>1960.8800000000001</v>
      </c>
      <c r="F128" s="2">
        <v>2587.9000000000001</v>
      </c>
      <c r="G128" s="2">
        <v>3228</v>
      </c>
      <c r="H128" s="2">
        <v>3417.6900000000001</v>
      </c>
      <c r="I128" s="2">
        <v>5301.6499999999996</v>
      </c>
      <c r="J128" s="2">
        <v>4461.6599999999999</v>
      </c>
      <c r="K128" s="2">
        <v>4141.9399999999996</v>
      </c>
      <c r="L128" s="2">
        <v>5557.21</v>
      </c>
      <c r="M128" s="2">
        <v>6026.4700000000003</v>
      </c>
      <c r="N128" s="14">
        <f t="shared" si="27"/>
        <v>0.15931881882974899</v>
      </c>
      <c r="O128" s="14">
        <f>(1+N128)/(1+WPI!$J$5)-1</f>
        <v>0.124952940661267</v>
      </c>
      <c r="P128" s="2" t="str">
        <f t="shared" si="28"/>
        <v>Yes</v>
      </c>
      <c r="Q128" s="14">
        <f t="shared" si="29"/>
        <v>0.084441653275654505</v>
      </c>
    </row>
    <row r="129" ht="15">
      <c r="A129" s="2" t="s">
        <v>258</v>
      </c>
      <c r="B129" s="2" t="s">
        <v>72</v>
      </c>
      <c r="C129" s="2">
        <v>617.08000000000004</v>
      </c>
      <c r="D129" s="2">
        <v>559.83000000000004</v>
      </c>
      <c r="E129" s="2">
        <v>598.84000000000003</v>
      </c>
      <c r="F129" s="2">
        <v>776.09000000000003</v>
      </c>
      <c r="G129" s="2">
        <v>788.41999999999996</v>
      </c>
      <c r="H129" s="2">
        <v>825.65999999999997</v>
      </c>
      <c r="I129" s="2">
        <v>909.11000000000001</v>
      </c>
      <c r="J129" s="2">
        <v>552.35000000000002</v>
      </c>
      <c r="K129" s="2">
        <v>626.60000000000002</v>
      </c>
      <c r="L129" s="2">
        <v>910.39999999999998</v>
      </c>
      <c r="M129" s="2">
        <v>850.52999999999997</v>
      </c>
      <c r="N129" s="14">
        <f t="shared" si="27"/>
        <v>0.032606409864215202</v>
      </c>
      <c r="O129" s="14">
        <f>(1+N129)/(1+WPI!$J$5)-1</f>
        <v>0.0019966884476261301</v>
      </c>
      <c r="P129" s="2" t="str">
        <f t="shared" si="28"/>
        <v>Yes</v>
      </c>
      <c r="Q129" s="14">
        <f t="shared" si="29"/>
        <v>-0.06576230228471</v>
      </c>
    </row>
    <row r="130" ht="15">
      <c r="A130" s="2" t="s">
        <v>259</v>
      </c>
      <c r="B130" s="2" t="s">
        <v>69</v>
      </c>
      <c r="C130" s="2">
        <v>23.739999999999998</v>
      </c>
      <c r="D130" s="2">
        <v>19.600000000000001</v>
      </c>
      <c r="E130" s="2">
        <v>19.190000000000001</v>
      </c>
      <c r="F130" s="2">
        <v>20.600000000000001</v>
      </c>
      <c r="G130" s="2">
        <v>23.170000000000002</v>
      </c>
      <c r="H130" s="2">
        <v>32.200000000000003</v>
      </c>
      <c r="I130" s="2">
        <v>30.739999999999998</v>
      </c>
      <c r="J130" s="2">
        <v>29.079999999999998</v>
      </c>
      <c r="K130" s="2">
        <v>37.450000000000003</v>
      </c>
      <c r="L130" s="2">
        <v>36.159999999999997</v>
      </c>
      <c r="M130" s="2">
        <v>34.880000000000003</v>
      </c>
      <c r="N130" s="14">
        <f t="shared" si="27"/>
        <v>0.039224977068606399</v>
      </c>
      <c r="O130" s="14">
        <f>(1+N130)/(1+WPI!$J$5)-1</f>
        <v>0.00841906037725626</v>
      </c>
      <c r="P130" s="2" t="str">
        <f t="shared" si="28"/>
        <v>Yes</v>
      </c>
      <c r="Q130" s="14">
        <f t="shared" si="29"/>
        <v>-0.035398230088495401</v>
      </c>
    </row>
    <row r="131" ht="15">
      <c r="A131" s="2" t="s">
        <v>260</v>
      </c>
      <c r="B131" s="2" t="s">
        <v>69</v>
      </c>
      <c r="C131" s="2">
        <v>24.649999999999999</v>
      </c>
      <c r="D131" s="2">
        <v>22.829999999999998</v>
      </c>
      <c r="E131" s="2">
        <v>21.620000000000001</v>
      </c>
      <c r="F131" s="2">
        <v>30.91</v>
      </c>
      <c r="G131" s="2">
        <v>45.390000000000001</v>
      </c>
      <c r="H131" s="2">
        <v>54.170000000000002</v>
      </c>
      <c r="I131" s="2">
        <v>63.75</v>
      </c>
      <c r="J131" s="2">
        <v>74.450000000000003</v>
      </c>
      <c r="K131" s="2">
        <v>104.88</v>
      </c>
      <c r="L131" s="2">
        <v>83.180000000000007</v>
      </c>
      <c r="M131" s="2">
        <v>78.719999999999999</v>
      </c>
      <c r="N131" s="14">
        <f t="shared" si="27"/>
        <v>0.123121694277183</v>
      </c>
      <c r="O131" s="14">
        <f>(1+N131)/(1+WPI!$J$5)-1</f>
        <v>0.089828813417308404</v>
      </c>
      <c r="P131" s="2" t="str">
        <f t="shared" si="28"/>
        <v>Yes</v>
      </c>
      <c r="Q131" s="14">
        <f t="shared" si="29"/>
        <v>-0.053618658331329699</v>
      </c>
    </row>
    <row r="132" ht="15">
      <c r="A132" s="2" t="s">
        <v>261</v>
      </c>
      <c r="B132" s="2" t="s">
        <v>69</v>
      </c>
      <c r="C132" s="2">
        <v>3.5099999999999998</v>
      </c>
      <c r="D132" s="2">
        <v>4.0099999999999998</v>
      </c>
      <c r="E132" s="2">
        <v>3.9199999999999999</v>
      </c>
      <c r="F132" s="2">
        <v>4.3300000000000001</v>
      </c>
      <c r="G132" s="2">
        <v>5.6500000000000004</v>
      </c>
      <c r="H132" s="2">
        <v>8.0299999999999994</v>
      </c>
      <c r="I132" s="2">
        <v>9.3900000000000006</v>
      </c>
      <c r="J132" s="2">
        <v>11.69</v>
      </c>
      <c r="K132" s="2">
        <v>10.31</v>
      </c>
      <c r="L132" s="2">
        <v>10.789999999999999</v>
      </c>
      <c r="M132" s="2">
        <v>9.8100000000000005</v>
      </c>
      <c r="N132" s="14">
        <f t="shared" si="27"/>
        <v>0.10824604240966</v>
      </c>
      <c r="O132" s="14">
        <f>(1+N132)/(1+WPI!$J$5)-1</f>
        <v>0.075394122941468703</v>
      </c>
      <c r="P132" s="2" t="str">
        <f t="shared" si="28"/>
        <v>Yes</v>
      </c>
      <c r="Q132" s="14">
        <f t="shared" si="29"/>
        <v>-0.090824837812789494</v>
      </c>
    </row>
    <row r="133" ht="15">
      <c r="A133" s="2" t="s">
        <v>262</v>
      </c>
      <c r="B133" s="2" t="s">
        <v>71</v>
      </c>
      <c r="C133" s="2">
        <v>257.99000000000001</v>
      </c>
      <c r="D133" s="2">
        <v>298.06</v>
      </c>
      <c r="E133" s="2">
        <v>394.17000000000002</v>
      </c>
      <c r="F133" s="2">
        <v>410.56</v>
      </c>
      <c r="G133" s="2">
        <v>434.68000000000001</v>
      </c>
      <c r="H133" s="2">
        <v>485.25999999999999</v>
      </c>
      <c r="I133" s="2">
        <v>537.91999999999996</v>
      </c>
      <c r="J133" s="2">
        <v>536.00999999999999</v>
      </c>
      <c r="K133" s="2">
        <v>582.28999999999996</v>
      </c>
      <c r="L133" s="2">
        <v>733.23000000000002</v>
      </c>
      <c r="M133" s="2">
        <v>839.33000000000004</v>
      </c>
      <c r="N133" s="14">
        <f t="shared" si="27"/>
        <v>0.125208456326804</v>
      </c>
      <c r="O133" s="14">
        <f>(1+N133)/(1+WPI!$J$5)-1</f>
        <v>0.091853717236734606</v>
      </c>
      <c r="P133" s="2" t="str">
        <f t="shared" si="28"/>
        <v>Yes</v>
      </c>
      <c r="Q133" s="14">
        <f t="shared" si="29"/>
        <v>0.144702208038406</v>
      </c>
    </row>
    <row r="134" ht="15">
      <c r="A134" s="2" t="s">
        <v>263</v>
      </c>
      <c r="B134" s="2" t="s">
        <v>71</v>
      </c>
      <c r="C134" s="2">
        <v>311.93000000000001</v>
      </c>
      <c r="D134" s="2">
        <v>357.26999999999998</v>
      </c>
      <c r="E134" s="2">
        <v>402.38999999999999</v>
      </c>
      <c r="F134" s="2">
        <v>460.25999999999999</v>
      </c>
      <c r="G134" s="2">
        <v>519.53999999999996</v>
      </c>
      <c r="H134" s="2">
        <v>449.75</v>
      </c>
      <c r="I134" s="2">
        <v>396.98000000000002</v>
      </c>
      <c r="J134" s="2">
        <v>370.35000000000002</v>
      </c>
      <c r="K134" s="2">
        <v>350.25</v>
      </c>
      <c r="L134" s="2">
        <v>295.80000000000001</v>
      </c>
      <c r="M134" s="2">
        <v>314.30000000000001</v>
      </c>
      <c r="N134" s="14">
        <f t="shared" si="27"/>
        <v>0.00075720054576500196</v>
      </c>
      <c r="O134" s="14">
        <f>(1+N134)/(1+WPI!$J$5)-1</f>
        <v>-0.028908409527660401</v>
      </c>
      <c r="P134" s="2" t="str">
        <f t="shared" si="28"/>
        <v>No</v>
      </c>
      <c r="Q134" s="14">
        <f t="shared" si="29"/>
        <v>0.0625422582826234</v>
      </c>
    </row>
    <row r="135" ht="15">
      <c r="A135" s="2" t="s">
        <v>264</v>
      </c>
      <c r="B135" s="2" t="s">
        <v>69</v>
      </c>
      <c r="C135" s="2">
        <v>0.80000000000000004</v>
      </c>
      <c r="D135" s="2">
        <v>5.6699999999999999</v>
      </c>
      <c r="E135" s="2">
        <v>3.6200000000000001</v>
      </c>
      <c r="F135" s="2">
        <v>7.4699999999999998</v>
      </c>
      <c r="G135" s="2">
        <v>6</v>
      </c>
      <c r="H135" s="2">
        <v>6.75</v>
      </c>
      <c r="I135" s="2">
        <v>8.3900000000000006</v>
      </c>
      <c r="J135" s="2">
        <v>24.18</v>
      </c>
      <c r="K135" s="2">
        <v>28.219999999999999</v>
      </c>
      <c r="L135" s="2">
        <v>31.07</v>
      </c>
      <c r="M135" s="2">
        <v>22.760000000000002</v>
      </c>
      <c r="N135" s="14">
        <f t="shared" si="27"/>
        <v>0.39768153307854998</v>
      </c>
      <c r="O135" s="14">
        <f>(1+N135)/(1+WPI!$J$5)-1</f>
        <v>0.35624982981973402</v>
      </c>
      <c r="P135" s="2" t="str">
        <f t="shared" si="28"/>
        <v>Yes</v>
      </c>
      <c r="Q135" s="14">
        <f t="shared" si="29"/>
        <v>-0.26746057289990299</v>
      </c>
    </row>
    <row r="136" ht="15">
      <c r="A136" s="2" t="s">
        <v>265</v>
      </c>
      <c r="B136" s="2" t="s">
        <v>71</v>
      </c>
      <c r="C136" s="2">
        <v>184.84999999999999</v>
      </c>
      <c r="D136" s="2">
        <v>180.78</v>
      </c>
      <c r="E136" s="2">
        <v>215.38999999999999</v>
      </c>
      <c r="F136" s="2">
        <v>295.07999999999998</v>
      </c>
      <c r="G136" s="2">
        <v>421.89999999999998</v>
      </c>
      <c r="H136" s="2">
        <v>184.91999999999999</v>
      </c>
      <c r="I136" s="2">
        <v>293.76999999999998</v>
      </c>
      <c r="J136" s="2">
        <v>314.13</v>
      </c>
      <c r="K136" s="2">
        <v>249.56</v>
      </c>
      <c r="L136" s="2">
        <v>273.82999999999998</v>
      </c>
      <c r="M136" s="2">
        <v>275.61000000000001</v>
      </c>
      <c r="N136" s="14">
        <f t="shared" si="27"/>
        <v>0.040752712889027903</v>
      </c>
      <c r="O136" s="14">
        <f>(1+N136)/(1+WPI!$J$5)-1</f>
        <v>0.0099015092738172807</v>
      </c>
      <c r="P136" s="2" t="str">
        <f t="shared" si="28"/>
        <v>Yes</v>
      </c>
      <c r="Q136" s="14">
        <f t="shared" si="29"/>
        <v>0.0065003834495855903</v>
      </c>
    </row>
    <row r="137" ht="15">
      <c r="A137" s="2" t="s">
        <v>266</v>
      </c>
      <c r="B137" s="2" t="s">
        <v>70</v>
      </c>
      <c r="C137" s="2">
        <v>105.93000000000001</v>
      </c>
      <c r="D137" s="2">
        <v>144.59999999999999</v>
      </c>
      <c r="E137" s="2">
        <v>173.81</v>
      </c>
      <c r="F137" s="2">
        <v>195.18000000000001</v>
      </c>
      <c r="G137" s="2">
        <v>204.74000000000001</v>
      </c>
      <c r="H137" s="2">
        <v>257.75999999999999</v>
      </c>
      <c r="I137" s="2">
        <v>272.37</v>
      </c>
      <c r="J137" s="2">
        <v>315.88999999999999</v>
      </c>
      <c r="K137" s="2">
        <v>319.63999999999999</v>
      </c>
      <c r="L137" s="2">
        <v>286.35000000000002</v>
      </c>
      <c r="M137" s="2">
        <v>328.24000000000001</v>
      </c>
      <c r="N137" s="14">
        <f t="shared" si="27"/>
        <v>0.119740156150012</v>
      </c>
      <c r="O137" s="14">
        <f>(1+N137)/(1+WPI!$J$5)-1</f>
        <v>0.086547514780269494</v>
      </c>
      <c r="P137" s="2" t="str">
        <f t="shared" si="28"/>
        <v>Yes</v>
      </c>
      <c r="Q137" s="14">
        <f t="shared" si="29"/>
        <v>0.146289505849485</v>
      </c>
    </row>
    <row r="138" ht="15">
      <c r="A138" s="2" t="s">
        <v>267</v>
      </c>
      <c r="B138" s="2" t="s">
        <v>72</v>
      </c>
      <c r="C138" s="2">
        <v>1368.1099999999999</v>
      </c>
      <c r="D138" s="2">
        <v>1725.76</v>
      </c>
      <c r="E138" s="2">
        <v>2113.2800000000002</v>
      </c>
      <c r="F138" s="2">
        <v>2183.0900000000001</v>
      </c>
      <c r="G138" s="2">
        <v>1617.6700000000001</v>
      </c>
      <c r="H138" s="2">
        <v>1696.96</v>
      </c>
      <c r="I138" s="2">
        <v>1975.8399999999999</v>
      </c>
      <c r="J138" s="2">
        <v>2146</v>
      </c>
      <c r="K138" s="2">
        <v>2017.6199999999999</v>
      </c>
      <c r="L138" s="2">
        <v>1423.1300000000001</v>
      </c>
      <c r="M138" s="2">
        <v>704.36000000000001</v>
      </c>
      <c r="N138" s="14">
        <f t="shared" si="27"/>
        <v>-0.064233773321555193</v>
      </c>
      <c r="O138" s="14">
        <f>(1+N138)/(1+WPI!$J$5)-1</f>
        <v>-0.091972845281651297</v>
      </c>
      <c r="P138" s="2" t="str">
        <f t="shared" si="28"/>
        <v>No</v>
      </c>
      <c r="Q138" s="14">
        <f t="shared" si="29"/>
        <v>-0.50506278414480799</v>
      </c>
    </row>
    <row r="139" ht="15">
      <c r="A139" s="2" t="s">
        <v>268</v>
      </c>
      <c r="B139" s="2" t="s">
        <v>70</v>
      </c>
      <c r="C139" s="2">
        <v>91.579999999999998</v>
      </c>
      <c r="D139" s="2">
        <v>142.02000000000001</v>
      </c>
      <c r="E139" s="2">
        <v>181.15000000000001</v>
      </c>
      <c r="F139" s="2">
        <v>161.59999999999999</v>
      </c>
      <c r="G139" s="2">
        <v>219.41</v>
      </c>
      <c r="H139" s="2">
        <v>244.15000000000001</v>
      </c>
      <c r="I139" s="2">
        <v>257.66000000000003</v>
      </c>
      <c r="J139" s="2">
        <v>208.87</v>
      </c>
      <c r="K139" s="2">
        <v>247.77000000000001</v>
      </c>
      <c r="L139" s="2">
        <v>305.22000000000003</v>
      </c>
      <c r="M139" s="2">
        <v>239.91999999999999</v>
      </c>
      <c r="N139" s="14">
        <f t="shared" si="27"/>
        <v>0.10109954038308699</v>
      </c>
      <c r="O139" s="14">
        <f>(1+N139)/(1+WPI!$J$5)-1</f>
        <v>0.0684594658483062</v>
      </c>
      <c r="P139" s="2" t="str">
        <f t="shared" si="28"/>
        <v>Yes</v>
      </c>
      <c r="Q139" s="14">
        <f t="shared" si="29"/>
        <v>-0.21394404036432699</v>
      </c>
    </row>
    <row r="140" ht="15">
      <c r="A140" s="2" t="s">
        <v>96</v>
      </c>
      <c r="B140" s="2" t="s">
        <v>72</v>
      </c>
      <c r="C140" s="2">
        <v>1550.4000000000001</v>
      </c>
      <c r="D140" s="2">
        <v>2211.3000000000002</v>
      </c>
      <c r="E140" s="2">
        <v>2456.5</v>
      </c>
      <c r="F140" s="2">
        <v>2978.0999999999999</v>
      </c>
      <c r="G140" s="2">
        <v>3587.3000000000002</v>
      </c>
      <c r="H140" s="2">
        <v>4763.6000000000004</v>
      </c>
      <c r="I140" s="2">
        <v>6529.6000000000004</v>
      </c>
      <c r="J140" s="2">
        <v>3098</v>
      </c>
      <c r="K140" s="2">
        <v>5588.6999999999998</v>
      </c>
      <c r="L140" s="2">
        <v>5746.6000000000004</v>
      </c>
      <c r="M140" s="2">
        <v>5971.3000000000002</v>
      </c>
      <c r="N140" s="14">
        <f t="shared" si="27"/>
        <v>0.144359589094297</v>
      </c>
      <c r="O140" s="14">
        <f>(1+N140)/(1+WPI!$J$5)-1</f>
        <v>0.110437149829965</v>
      </c>
      <c r="P140" s="2" t="str">
        <f t="shared" si="28"/>
        <v>Yes</v>
      </c>
      <c r="Q140" s="14">
        <f t="shared" si="29"/>
        <v>0.039101381686562402</v>
      </c>
    </row>
    <row r="141" ht="15">
      <c r="A141" s="2" t="s">
        <v>269</v>
      </c>
      <c r="B141" s="2" t="s">
        <v>71</v>
      </c>
      <c r="C141" s="2">
        <v>164.47</v>
      </c>
      <c r="D141" s="2">
        <v>200.88999999999999</v>
      </c>
      <c r="E141" s="2">
        <v>209.53999999999999</v>
      </c>
      <c r="F141" s="2">
        <v>120.84999999999999</v>
      </c>
      <c r="G141" s="2">
        <v>113.98999999999999</v>
      </c>
      <c r="H141" s="2">
        <v>113.38</v>
      </c>
      <c r="I141" s="2">
        <v>105.23999999999999</v>
      </c>
      <c r="J141" s="2">
        <v>114.77</v>
      </c>
      <c r="K141" s="2">
        <v>136.84</v>
      </c>
      <c r="L141" s="2">
        <v>159.65000000000001</v>
      </c>
      <c r="M141" s="2">
        <v>165.31</v>
      </c>
      <c r="N141" s="14">
        <f t="shared" si="27"/>
        <v>0.00050956141350511097</v>
      </c>
      <c r="O141" s="14">
        <f>(1+N141)/(1+WPI!$J$5)-1</f>
        <v>-0.029148707852447199</v>
      </c>
      <c r="P141" s="2" t="str">
        <f t="shared" si="28"/>
        <v>No</v>
      </c>
      <c r="Q141" s="14">
        <f t="shared" si="29"/>
        <v>0.035452552458502998</v>
      </c>
    </row>
  </sheetData>
  <autoFilter ref="A1:Q141"/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en-US</dc:language>
  <cp:revision>2</cp:revision>
  <dcterms:created xsi:type="dcterms:W3CDTF">2026-10-15T10:14:05Z</dcterms:created>
  <dcterms:modified xsi:type="dcterms:W3CDTF">2026-10-15T10:43:16Z</dcterms:modified>
</cp:coreProperties>
</file>